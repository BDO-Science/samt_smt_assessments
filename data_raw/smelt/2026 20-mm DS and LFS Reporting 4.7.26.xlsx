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lmccormick_usbr_gov/Documents/Documents/Research/R/samt_smt_assessments/data_raw/smelt/"/>
    </mc:Choice>
  </mc:AlternateContent>
  <xr:revisionPtr revIDLastSave="4" documentId="13_ncr:1_{41188B3B-9353-439C-ADD7-83A110BA25DA}" xr6:coauthVersionLast="47" xr6:coauthVersionMax="47" xr10:uidLastSave="{BB4ED49B-9A38-407C-9A72-2887C2301F60}"/>
  <bookViews>
    <workbookView xWindow="-11268" yWindow="-14556" windowWidth="21192" windowHeight="11460" tabRatio="844" activeTab="1" xr2:uid="{FADF9BD8-084D-4A05-925F-CF581A2A38ED}"/>
  </bookViews>
  <sheets>
    <sheet name="Survey 1" sheetId="52" r:id="rId1"/>
    <sheet name="Survey 2" sheetId="73" r:id="rId2"/>
    <sheet name="20-mm Map" sheetId="72" r:id="rId3"/>
  </sheets>
  <externalReferences>
    <externalReference r:id="rId4"/>
  </externalReferences>
  <definedNames>
    <definedName name="_xlnm._FilterDatabase" localSheetId="0" hidden="1">'Survey 1'!$H$1:$H$83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3" i="73" l="1"/>
  <c r="C62" i="73"/>
  <c r="C61" i="73"/>
  <c r="C60" i="73"/>
  <c r="C59" i="73"/>
  <c r="C58" i="73"/>
  <c r="C57" i="73"/>
  <c r="C56" i="73"/>
  <c r="C55" i="73"/>
  <c r="C54" i="73"/>
  <c r="C53" i="73"/>
  <c r="C52" i="73"/>
  <c r="C51" i="73"/>
  <c r="C50" i="73"/>
  <c r="C49" i="73"/>
  <c r="C48" i="73"/>
  <c r="C47" i="73"/>
  <c r="C46" i="73"/>
  <c r="C45" i="73"/>
  <c r="C44" i="73"/>
  <c r="C43" i="73"/>
  <c r="C42" i="73"/>
  <c r="C41" i="73"/>
  <c r="C40" i="73"/>
  <c r="C39" i="73"/>
  <c r="C38" i="73"/>
  <c r="C37" i="73"/>
  <c r="C36" i="73"/>
  <c r="C35" i="73"/>
  <c r="C34" i="73"/>
  <c r="C33" i="73"/>
  <c r="C32" i="73"/>
  <c r="C31" i="73"/>
  <c r="C30" i="73"/>
  <c r="C29" i="73"/>
  <c r="C28" i="73"/>
  <c r="C27" i="73"/>
  <c r="C26" i="73"/>
  <c r="C25" i="73"/>
  <c r="C24" i="73"/>
  <c r="C23" i="73"/>
  <c r="C22" i="73"/>
  <c r="C18" i="73"/>
  <c r="C17" i="73"/>
  <c r="C16" i="73"/>
  <c r="C4" i="73"/>
  <c r="C5" i="73" s="1"/>
  <c r="C20" i="73" s="1"/>
  <c r="B3" i="73"/>
  <c r="B4" i="73" s="1"/>
  <c r="B5" i="73" s="1"/>
  <c r="B6" i="73" s="1"/>
  <c r="B7" i="73" s="1"/>
  <c r="B8" i="73" s="1"/>
  <c r="B9" i="73" s="1"/>
  <c r="B10" i="73" s="1"/>
  <c r="B11" i="73" s="1"/>
  <c r="B12" i="73" s="1"/>
  <c r="B13" i="73" s="1"/>
  <c r="B14" i="73" s="1"/>
  <c r="B15" i="73" s="1"/>
  <c r="B16" i="73" s="1"/>
  <c r="B17" i="73" s="1"/>
  <c r="B18" i="73" s="1"/>
  <c r="B19" i="73" s="1"/>
  <c r="B20" i="73" s="1"/>
  <c r="B21" i="73" s="1"/>
  <c r="B22" i="73" s="1"/>
  <c r="B23" i="73" s="1"/>
  <c r="B24" i="73" s="1"/>
  <c r="B25" i="73" s="1"/>
  <c r="B26" i="73" s="1"/>
  <c r="B27" i="73" s="1"/>
  <c r="B28" i="73" s="1"/>
  <c r="B29" i="73" s="1"/>
  <c r="B30" i="73" s="1"/>
  <c r="B31" i="73" s="1"/>
  <c r="B32" i="73" s="1"/>
  <c r="B33" i="73" s="1"/>
  <c r="B34" i="73" s="1"/>
  <c r="B35" i="73" s="1"/>
  <c r="B36" i="73" s="1"/>
  <c r="B37" i="73" s="1"/>
  <c r="B38" i="73" s="1"/>
  <c r="B39" i="73" s="1"/>
  <c r="B40" i="73" s="1"/>
  <c r="B41" i="73" s="1"/>
  <c r="B42" i="73" s="1"/>
  <c r="B43" i="73" s="1"/>
  <c r="B44" i="73" s="1"/>
  <c r="B45" i="73" s="1"/>
  <c r="B46" i="73" s="1"/>
  <c r="B47" i="73" s="1"/>
  <c r="B48" i="73" s="1"/>
  <c r="B49" i="73" s="1"/>
  <c r="B50" i="73" s="1"/>
  <c r="B51" i="73" s="1"/>
  <c r="B52" i="73" s="1"/>
  <c r="B53" i="73" s="1"/>
  <c r="B54" i="73" s="1"/>
  <c r="B55" i="73" s="1"/>
  <c r="B56" i="73" s="1"/>
  <c r="B57" i="73" s="1"/>
  <c r="B58" i="73" s="1"/>
  <c r="B59" i="73" s="1"/>
  <c r="B60" i="73" s="1"/>
  <c r="B61" i="73" s="1"/>
  <c r="B62" i="73" s="1"/>
  <c r="B63" i="73" s="1"/>
  <c r="C63" i="52"/>
  <c r="C62" i="52"/>
  <c r="C61" i="52"/>
  <c r="C60" i="52"/>
  <c r="C59" i="52"/>
  <c r="C58" i="52"/>
  <c r="C57" i="52"/>
  <c r="C56" i="52"/>
  <c r="C55" i="52"/>
  <c r="C54" i="52"/>
  <c r="C53" i="52"/>
  <c r="C52" i="52"/>
  <c r="C51" i="52"/>
  <c r="C50" i="52"/>
  <c r="C49" i="52"/>
  <c r="C48" i="52"/>
  <c r="C47" i="52"/>
  <c r="C46" i="52"/>
  <c r="C45" i="52"/>
  <c r="C44" i="52"/>
  <c r="C43" i="52"/>
  <c r="C42" i="52"/>
  <c r="C41" i="52"/>
  <c r="C40" i="52"/>
  <c r="C39" i="52"/>
  <c r="C38" i="52"/>
  <c r="C37" i="52"/>
  <c r="C36" i="52"/>
  <c r="C35" i="52"/>
  <c r="C34" i="52"/>
  <c r="C33" i="52"/>
  <c r="C32" i="52"/>
  <c r="C31" i="52"/>
  <c r="C30" i="52"/>
  <c r="C29" i="52"/>
  <c r="C28" i="52"/>
  <c r="C27" i="52"/>
  <c r="C26" i="52"/>
  <c r="C25" i="52"/>
  <c r="C24" i="52"/>
  <c r="C23" i="52"/>
  <c r="C22" i="52"/>
  <c r="C18" i="52"/>
  <c r="C17" i="52"/>
  <c r="C16" i="52"/>
  <c r="C4" i="52"/>
  <c r="C19" i="52" s="1"/>
  <c r="B4" i="52"/>
  <c r="B5" i="52" s="1"/>
  <c r="B6" i="52" s="1"/>
  <c r="B7" i="52" s="1"/>
  <c r="B8" i="52" s="1"/>
  <c r="B9" i="52" s="1"/>
  <c r="B10" i="52" s="1"/>
  <c r="B11" i="52" s="1"/>
  <c r="B12" i="52" s="1"/>
  <c r="B13" i="52" s="1"/>
  <c r="B14" i="52" s="1"/>
  <c r="B15" i="52" s="1"/>
  <c r="B16" i="52" s="1"/>
  <c r="B17" i="52" s="1"/>
  <c r="B18" i="52" s="1"/>
  <c r="B19" i="52" s="1"/>
  <c r="B20" i="52" s="1"/>
  <c r="B21" i="52" s="1"/>
  <c r="B22" i="52" s="1"/>
  <c r="B23" i="52" s="1"/>
  <c r="B24" i="52" s="1"/>
  <c r="B25" i="52" s="1"/>
  <c r="B26" i="52" s="1"/>
  <c r="B27" i="52" s="1"/>
  <c r="B28" i="52" s="1"/>
  <c r="B29" i="52" s="1"/>
  <c r="B30" i="52" s="1"/>
  <c r="B31" i="52" s="1"/>
  <c r="B32" i="52" s="1"/>
  <c r="B33" i="52" s="1"/>
  <c r="B34" i="52" s="1"/>
  <c r="B35" i="52" s="1"/>
  <c r="B36" i="52" s="1"/>
  <c r="B37" i="52" s="1"/>
  <c r="B38" i="52" s="1"/>
  <c r="B39" i="52" s="1"/>
  <c r="B40" i="52" s="1"/>
  <c r="B41" i="52" s="1"/>
  <c r="B42" i="52" s="1"/>
  <c r="B43" i="52" s="1"/>
  <c r="B44" i="52" s="1"/>
  <c r="B45" i="52" s="1"/>
  <c r="B46" i="52" s="1"/>
  <c r="B47" i="52" s="1"/>
  <c r="B48" i="52" s="1"/>
  <c r="B49" i="52" s="1"/>
  <c r="B50" i="52" s="1"/>
  <c r="B51" i="52" s="1"/>
  <c r="B52" i="52" s="1"/>
  <c r="B53" i="52" s="1"/>
  <c r="B54" i="52" s="1"/>
  <c r="B55" i="52" s="1"/>
  <c r="B56" i="52" s="1"/>
  <c r="B57" i="52" s="1"/>
  <c r="B58" i="52" s="1"/>
  <c r="B59" i="52" s="1"/>
  <c r="B60" i="52" s="1"/>
  <c r="B61" i="52" s="1"/>
  <c r="B62" i="52" s="1"/>
  <c r="B63" i="52" s="1"/>
  <c r="C19" i="73" l="1"/>
  <c r="C6" i="73"/>
  <c r="C5" i="52"/>
  <c r="C21" i="73" l="1"/>
  <c r="C7" i="73"/>
  <c r="C8" i="73" s="1"/>
  <c r="C9" i="73" s="1"/>
  <c r="C10" i="73" s="1"/>
  <c r="C11" i="73" s="1"/>
  <c r="C12" i="73" s="1"/>
  <c r="C13" i="73" s="1"/>
  <c r="C14" i="73" s="1"/>
  <c r="C15" i="73" s="1"/>
  <c r="C6" i="52"/>
  <c r="C20" i="52"/>
  <c r="C7" i="52" l="1"/>
  <c r="C8" i="52" s="1"/>
  <c r="C9" i="52" s="1"/>
  <c r="C10" i="52" s="1"/>
  <c r="C11" i="52" s="1"/>
  <c r="C12" i="52" s="1"/>
  <c r="C13" i="52" s="1"/>
  <c r="C14" i="52" s="1"/>
  <c r="C15" i="52" s="1"/>
  <c r="C21" i="52"/>
</calcChain>
</file>

<file path=xl/sharedStrings.xml><?xml version="1.0" encoding="utf-8"?>
<sst xmlns="http://schemas.openxmlformats.org/spreadsheetml/2006/main" count="105" uniqueCount="32">
  <si>
    <t>Year</t>
  </si>
  <si>
    <t>Survey</t>
  </si>
  <si>
    <t>Station</t>
  </si>
  <si>
    <t>Date</t>
  </si>
  <si>
    <t># Tows Processed</t>
  </si>
  <si>
    <t>Total Catch</t>
  </si>
  <si>
    <t>Confluence</t>
  </si>
  <si>
    <t>Sac. River System</t>
  </si>
  <si>
    <t>Central &amp; South Delta</t>
  </si>
  <si>
    <t>Min Length</t>
  </si>
  <si>
    <t>Max Length</t>
  </si>
  <si>
    <t>Avg Length</t>
  </si>
  <si>
    <t>Species</t>
  </si>
  <si>
    <t>ID Status</t>
  </si>
  <si>
    <t>Secchi (CM)</t>
  </si>
  <si>
    <t>Napa River</t>
  </si>
  <si>
    <t>Carquinez Strait</t>
  </si>
  <si>
    <t>San Pablo Bay</t>
  </si>
  <si>
    <t>Suisun Bay &amp; Marsh</t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</si>
  <si>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</si>
  <si>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</si>
  <si>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</si>
  <si>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t>Longfin Smelt</t>
  </si>
  <si>
    <t>Complete</t>
  </si>
  <si>
    <t>No Smelt Catch</t>
  </si>
  <si>
    <t>Not Sampled</t>
  </si>
  <si>
    <t>Turbidity (FNU)</t>
  </si>
  <si>
    <t>CDFW's 2025 20-mm Station Map</t>
  </si>
  <si>
    <r>
      <t>901</t>
    </r>
    <r>
      <rPr>
        <vertAlign val="superscript"/>
        <sz val="14"/>
        <color rgb="FF000000"/>
        <rFont val="Arial"/>
        <family val="2"/>
      </rPr>
      <t>∆≠</t>
    </r>
  </si>
  <si>
    <r>
      <t>902</t>
    </r>
    <r>
      <rPr>
        <sz val="14"/>
        <color rgb="FF000000"/>
        <rFont val="Arial"/>
        <family val="2"/>
      </rPr>
      <t>*</t>
    </r>
    <r>
      <rPr>
        <vertAlign val="superscript"/>
        <sz val="14"/>
        <color rgb="FF000000"/>
        <rFont val="Arial"/>
        <family val="2"/>
      </rPr>
      <t>∆</t>
    </r>
  </si>
  <si>
    <t>Processing is complete through 4/7/26</t>
  </si>
  <si>
    <t xml:space="preserve">Processing is complete through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</si>
</sst>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6" formatCode="0.0"/>
    <numFmt numFmtId="167" formatCode="m/d/yy;@"/>
  </numFmts>
  <fonts count="9" x14ac:knownFonts="1">
    <font>
      <sz val="10"/>
      <color indexed="8"/>
      <name val="Arial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  <font>
      <sz val="12"/>
      <color indexed="8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24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8"/>
      </patternFill>
    </fill>
    <fill>
      <patternFill patternType="solid">
        <fgColor indexed="4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ED0D0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8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8"/>
      </patternFill>
    </fill>
    <fill>
      <patternFill patternType="solid">
        <fgColor rgb="FFFED0D0"/>
        <bgColor indexed="8"/>
      </patternFill>
    </fill>
    <fill>
      <patternFill patternType="solid">
        <fgColor theme="7" tint="0.79998168889431442"/>
        <bgColor indexed="8"/>
      </patternFill>
    </fill>
    <fill>
      <patternFill patternType="solid">
        <fgColor theme="6" tint="0.79998168889431442"/>
        <bgColor indexed="8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C99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0.249977111117893"/>
        <bgColor indexed="8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31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0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6" fillId="10" borderId="0" xfId="0" applyFont="1" applyFill="1"/>
    <xf numFmtId="0" fontId="6" fillId="10" borderId="0" xfId="0" applyFont="1" applyFill="1" applyAlignment="1">
      <alignment horizontal="center" vertical="center"/>
    </xf>
    <xf numFmtId="167" fontId="6" fillId="21" borderId="15" xfId="0" applyNumberFormat="1" applyFont="1" applyFill="1" applyBorder="1" applyAlignment="1">
      <alignment horizontal="center" wrapText="1"/>
    </xf>
    <xf numFmtId="1" fontId="6" fillId="21" borderId="15" xfId="0" applyNumberFormat="1" applyFont="1" applyFill="1" applyBorder="1" applyAlignment="1">
      <alignment horizontal="center" wrapText="1"/>
    </xf>
    <xf numFmtId="0" fontId="6" fillId="21" borderId="15" xfId="0" applyFont="1" applyFill="1" applyBorder="1" applyAlignment="1">
      <alignment horizontal="center" wrapText="1"/>
    </xf>
    <xf numFmtId="0" fontId="6" fillId="22" borderId="15" xfId="0" applyFont="1" applyFill="1" applyBorder="1" applyAlignment="1">
      <alignment horizontal="center"/>
    </xf>
    <xf numFmtId="1" fontId="6" fillId="22" borderId="15" xfId="0" applyNumberFormat="1" applyFont="1" applyFill="1" applyBorder="1" applyAlignment="1">
      <alignment horizontal="center"/>
    </xf>
    <xf numFmtId="0" fontId="6" fillId="22" borderId="28" xfId="0" applyFont="1" applyFill="1" applyBorder="1" applyAlignment="1">
      <alignment horizontal="center"/>
    </xf>
    <xf numFmtId="0" fontId="6" fillId="22" borderId="16" xfId="0" applyFont="1" applyFill="1" applyBorder="1" applyAlignment="1">
      <alignment horizontal="center"/>
    </xf>
    <xf numFmtId="166" fontId="6" fillId="22" borderId="23" xfId="0" applyNumberFormat="1" applyFont="1" applyFill="1" applyBorder="1" applyAlignment="1">
      <alignment horizontal="center"/>
    </xf>
    <xf numFmtId="167" fontId="6" fillId="21" borderId="5" xfId="0" applyNumberFormat="1" applyFont="1" applyFill="1" applyBorder="1" applyAlignment="1">
      <alignment horizontal="center" wrapText="1"/>
    </xf>
    <xf numFmtId="1" fontId="6" fillId="21" borderId="5" xfId="0" applyNumberFormat="1" applyFont="1" applyFill="1" applyBorder="1" applyAlignment="1">
      <alignment horizontal="center" wrapText="1"/>
    </xf>
    <xf numFmtId="0" fontId="6" fillId="21" borderId="5" xfId="0" applyFont="1" applyFill="1" applyBorder="1" applyAlignment="1">
      <alignment horizontal="center" wrapText="1"/>
    </xf>
    <xf numFmtId="0" fontId="6" fillId="22" borderId="5" xfId="0" applyFont="1" applyFill="1" applyBorder="1" applyAlignment="1">
      <alignment horizontal="center"/>
    </xf>
    <xf numFmtId="1" fontId="6" fillId="22" borderId="5" xfId="0" applyNumberFormat="1" applyFont="1" applyFill="1" applyBorder="1" applyAlignment="1">
      <alignment horizontal="center"/>
    </xf>
    <xf numFmtId="0" fontId="6" fillId="22" borderId="26" xfId="0" applyFont="1" applyFill="1" applyBorder="1" applyAlignment="1">
      <alignment horizontal="center"/>
    </xf>
    <xf numFmtId="0" fontId="6" fillId="22" borderId="6" xfId="0" applyFont="1" applyFill="1" applyBorder="1" applyAlignment="1">
      <alignment horizontal="center"/>
    </xf>
    <xf numFmtId="166" fontId="6" fillId="22" borderId="20" xfId="0" applyNumberFormat="1" applyFont="1" applyFill="1" applyBorder="1" applyAlignment="1">
      <alignment horizontal="center"/>
    </xf>
    <xf numFmtId="167" fontId="6" fillId="16" borderId="5" xfId="0" applyNumberFormat="1" applyFont="1" applyFill="1" applyBorder="1" applyAlignment="1">
      <alignment horizontal="center" wrapText="1"/>
    </xf>
    <xf numFmtId="1" fontId="6" fillId="16" borderId="7" xfId="0" applyNumberFormat="1" applyFont="1" applyFill="1" applyBorder="1" applyAlignment="1">
      <alignment horizontal="center" wrapText="1"/>
    </xf>
    <xf numFmtId="0" fontId="6" fillId="16" borderId="7" xfId="0" applyFont="1" applyFill="1" applyBorder="1" applyAlignment="1">
      <alignment horizontal="center" wrapText="1"/>
    </xf>
    <xf numFmtId="0" fontId="6" fillId="9" borderId="5" xfId="0" applyFont="1" applyFill="1" applyBorder="1" applyAlignment="1">
      <alignment horizontal="center"/>
    </xf>
    <xf numFmtId="1" fontId="6" fillId="9" borderId="7" xfId="0" applyNumberFormat="1" applyFont="1" applyFill="1" applyBorder="1" applyAlignment="1">
      <alignment horizontal="center"/>
    </xf>
    <xf numFmtId="0" fontId="6" fillId="9" borderId="25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166" fontId="6" fillId="9" borderId="21" xfId="0" applyNumberFormat="1" applyFont="1" applyFill="1" applyBorder="1" applyAlignment="1">
      <alignment horizontal="center"/>
    </xf>
    <xf numFmtId="167" fontId="6" fillId="16" borderId="7" xfId="0" applyNumberFormat="1" applyFont="1" applyFill="1" applyBorder="1" applyAlignment="1">
      <alignment horizontal="center" wrapText="1"/>
    </xf>
    <xf numFmtId="167" fontId="6" fillId="16" borderId="17" xfId="0" applyNumberFormat="1" applyFont="1" applyFill="1" applyBorder="1" applyAlignment="1">
      <alignment horizontal="center" wrapText="1"/>
    </xf>
    <xf numFmtId="1" fontId="6" fillId="16" borderId="17" xfId="0" applyNumberFormat="1" applyFont="1" applyFill="1" applyBorder="1" applyAlignment="1">
      <alignment horizontal="center" wrapText="1"/>
    </xf>
    <xf numFmtId="0" fontId="6" fillId="16" borderId="17" xfId="0" applyFont="1" applyFill="1" applyBorder="1" applyAlignment="1">
      <alignment horizontal="center" wrapText="1"/>
    </xf>
    <xf numFmtId="1" fontId="6" fillId="9" borderId="17" xfId="0" applyNumberFormat="1" applyFont="1" applyFill="1" applyBorder="1" applyAlignment="1">
      <alignment horizontal="center"/>
    </xf>
    <xf numFmtId="0" fontId="6" fillId="9" borderId="29" xfId="0" applyFont="1" applyFill="1" applyBorder="1" applyAlignment="1">
      <alignment horizontal="center"/>
    </xf>
    <xf numFmtId="0" fontId="6" fillId="9" borderId="18" xfId="0" applyFont="1" applyFill="1" applyBorder="1" applyAlignment="1">
      <alignment horizontal="center"/>
    </xf>
    <xf numFmtId="166" fontId="6" fillId="9" borderId="24" xfId="0" applyNumberFormat="1" applyFont="1" applyFill="1" applyBorder="1" applyAlignment="1">
      <alignment horizontal="center"/>
    </xf>
    <xf numFmtId="0" fontId="6" fillId="9" borderId="7" xfId="0" applyFont="1" applyFill="1" applyBorder="1" applyAlignment="1">
      <alignment horizontal="center"/>
    </xf>
    <xf numFmtId="0" fontId="6" fillId="9" borderId="17" xfId="0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12" borderId="15" xfId="0" applyFont="1" applyFill="1" applyBorder="1" applyAlignment="1">
      <alignment horizontal="center"/>
    </xf>
    <xf numFmtId="167" fontId="6" fillId="12" borderId="15" xfId="0" applyNumberFormat="1" applyFont="1" applyFill="1" applyBorder="1" applyAlignment="1">
      <alignment horizontal="center"/>
    </xf>
    <xf numFmtId="1" fontId="6" fillId="12" borderId="15" xfId="0" applyNumberFormat="1" applyFont="1" applyFill="1" applyBorder="1" applyAlignment="1">
      <alignment horizontal="center"/>
    </xf>
    <xf numFmtId="1" fontId="6" fillId="12" borderId="34" xfId="0" applyNumberFormat="1" applyFont="1" applyFill="1" applyBorder="1" applyAlignment="1">
      <alignment horizontal="center"/>
    </xf>
    <xf numFmtId="0" fontId="6" fillId="12" borderId="28" xfId="0" applyFont="1" applyFill="1" applyBorder="1" applyAlignment="1">
      <alignment horizontal="center"/>
    </xf>
    <xf numFmtId="0" fontId="6" fillId="12" borderId="37" xfId="0" applyFont="1" applyFill="1" applyBorder="1" applyAlignment="1">
      <alignment horizontal="center"/>
    </xf>
    <xf numFmtId="0" fontId="6" fillId="12" borderId="5" xfId="0" applyFont="1" applyFill="1" applyBorder="1" applyAlignment="1">
      <alignment horizontal="center"/>
    </xf>
    <xf numFmtId="0" fontId="6" fillId="20" borderId="7" xfId="0" applyFont="1" applyFill="1" applyBorder="1" applyAlignment="1">
      <alignment horizontal="center"/>
    </xf>
    <xf numFmtId="167" fontId="6" fillId="12" borderId="5" xfId="0" applyNumberFormat="1" applyFont="1" applyFill="1" applyBorder="1" applyAlignment="1">
      <alignment horizontal="center"/>
    </xf>
    <xf numFmtId="1" fontId="6" fillId="12" borderId="5" xfId="0" applyNumberFormat="1" applyFont="1" applyFill="1" applyBorder="1" applyAlignment="1">
      <alignment horizontal="center"/>
    </xf>
    <xf numFmtId="0" fontId="6" fillId="12" borderId="7" xfId="0" applyFont="1" applyFill="1" applyBorder="1" applyAlignment="1">
      <alignment horizontal="center"/>
    </xf>
    <xf numFmtId="1" fontId="6" fillId="12" borderId="35" xfId="0" applyNumberFormat="1" applyFont="1" applyFill="1" applyBorder="1" applyAlignment="1">
      <alignment horizontal="center"/>
    </xf>
    <xf numFmtId="0" fontId="6" fillId="12" borderId="26" xfId="0" applyFont="1" applyFill="1" applyBorder="1" applyAlignment="1">
      <alignment horizontal="center"/>
    </xf>
    <xf numFmtId="0" fontId="6" fillId="12" borderId="36" xfId="0" applyFont="1" applyFill="1" applyBorder="1" applyAlignment="1">
      <alignment horizontal="center"/>
    </xf>
    <xf numFmtId="0" fontId="6" fillId="12" borderId="38" xfId="0" applyFont="1" applyFill="1" applyBorder="1" applyAlignment="1">
      <alignment horizontal="center"/>
    </xf>
    <xf numFmtId="167" fontId="6" fillId="12" borderId="38" xfId="0" applyNumberFormat="1" applyFont="1" applyFill="1" applyBorder="1" applyAlignment="1">
      <alignment horizontal="center"/>
    </xf>
    <xf numFmtId="1" fontId="6" fillId="12" borderId="38" xfId="0" applyNumberFormat="1" applyFont="1" applyFill="1" applyBorder="1" applyAlignment="1">
      <alignment horizontal="center"/>
    </xf>
    <xf numFmtId="1" fontId="6" fillId="12" borderId="39" xfId="0" applyNumberFormat="1" applyFont="1" applyFill="1" applyBorder="1" applyAlignment="1">
      <alignment horizontal="center"/>
    </xf>
    <xf numFmtId="0" fontId="6" fillId="12" borderId="40" xfId="0" applyFont="1" applyFill="1" applyBorder="1" applyAlignment="1">
      <alignment horizontal="center"/>
    </xf>
    <xf numFmtId="0" fontId="6" fillId="12" borderId="41" xfId="0" applyFont="1" applyFill="1" applyBorder="1" applyAlignment="1">
      <alignment horizontal="center"/>
    </xf>
    <xf numFmtId="0" fontId="6" fillId="13" borderId="15" xfId="0" applyFont="1" applyFill="1" applyBorder="1" applyAlignment="1">
      <alignment horizontal="center"/>
    </xf>
    <xf numFmtId="0" fontId="6" fillId="19" borderId="15" xfId="0" applyFont="1" applyFill="1" applyBorder="1" applyAlignment="1">
      <alignment horizontal="center"/>
    </xf>
    <xf numFmtId="167" fontId="6" fillId="19" borderId="15" xfId="0" applyNumberFormat="1" applyFont="1" applyFill="1" applyBorder="1" applyAlignment="1">
      <alignment horizontal="center" wrapText="1"/>
    </xf>
    <xf numFmtId="1" fontId="6" fillId="19" borderId="15" xfId="0" applyNumberFormat="1" applyFont="1" applyFill="1" applyBorder="1" applyAlignment="1">
      <alignment horizontal="center" wrapText="1"/>
    </xf>
    <xf numFmtId="1" fontId="6" fillId="13" borderId="15" xfId="0" applyNumberFormat="1" applyFont="1" applyFill="1" applyBorder="1" applyAlignment="1">
      <alignment horizontal="center"/>
    </xf>
    <xf numFmtId="0" fontId="6" fillId="13" borderId="28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center"/>
    </xf>
    <xf numFmtId="166" fontId="6" fillId="13" borderId="23" xfId="0" applyNumberFormat="1" applyFont="1" applyFill="1" applyBorder="1" applyAlignment="1">
      <alignment horizontal="center"/>
    </xf>
    <xf numFmtId="0" fontId="6" fillId="19" borderId="7" xfId="0" applyFont="1" applyFill="1" applyBorder="1" applyAlignment="1">
      <alignment horizontal="center"/>
    </xf>
    <xf numFmtId="0" fontId="6" fillId="13" borderId="7" xfId="0" applyFont="1" applyFill="1" applyBorder="1" applyAlignment="1">
      <alignment horizontal="center"/>
    </xf>
    <xf numFmtId="167" fontId="6" fillId="19" borderId="7" xfId="0" applyNumberFormat="1" applyFont="1" applyFill="1" applyBorder="1" applyAlignment="1">
      <alignment horizontal="center" wrapText="1"/>
    </xf>
    <xf numFmtId="1" fontId="6" fillId="19" borderId="7" xfId="0" applyNumberFormat="1" applyFont="1" applyFill="1" applyBorder="1" applyAlignment="1">
      <alignment horizontal="center" wrapText="1"/>
    </xf>
    <xf numFmtId="1" fontId="6" fillId="13" borderId="7" xfId="0" applyNumberFormat="1" applyFont="1" applyFill="1" applyBorder="1" applyAlignment="1">
      <alignment horizontal="center"/>
    </xf>
    <xf numFmtId="0" fontId="6" fillId="13" borderId="25" xfId="0" applyFont="1" applyFill="1" applyBorder="1" applyAlignment="1">
      <alignment horizontal="center"/>
    </xf>
    <xf numFmtId="0" fontId="6" fillId="13" borderId="8" xfId="0" applyFont="1" applyFill="1" applyBorder="1" applyAlignment="1">
      <alignment horizontal="center"/>
    </xf>
    <xf numFmtId="166" fontId="6" fillId="13" borderId="21" xfId="0" applyNumberFormat="1" applyFont="1" applyFill="1" applyBorder="1" applyAlignment="1">
      <alignment horizontal="center"/>
    </xf>
    <xf numFmtId="0" fontId="6" fillId="19" borderId="17" xfId="0" applyFont="1" applyFill="1" applyBorder="1" applyAlignment="1">
      <alignment horizontal="center"/>
    </xf>
    <xf numFmtId="0" fontId="6" fillId="19" borderId="13" xfId="0" applyFont="1" applyFill="1" applyBorder="1" applyAlignment="1">
      <alignment horizontal="center"/>
    </xf>
    <xf numFmtId="0" fontId="6" fillId="13" borderId="17" xfId="0" applyFont="1" applyFill="1" applyBorder="1" applyAlignment="1">
      <alignment horizontal="center"/>
    </xf>
    <xf numFmtId="167" fontId="6" fillId="19" borderId="17" xfId="0" applyNumberFormat="1" applyFont="1" applyFill="1" applyBorder="1" applyAlignment="1">
      <alignment horizontal="center" wrapText="1"/>
    </xf>
    <xf numFmtId="1" fontId="6" fillId="19" borderId="17" xfId="0" applyNumberFormat="1" applyFont="1" applyFill="1" applyBorder="1" applyAlignment="1">
      <alignment horizontal="center" wrapText="1"/>
    </xf>
    <xf numFmtId="1" fontId="6" fillId="13" borderId="17" xfId="0" applyNumberFormat="1" applyFont="1" applyFill="1" applyBorder="1" applyAlignment="1">
      <alignment horizontal="center"/>
    </xf>
    <xf numFmtId="0" fontId="6" fillId="13" borderId="29" xfId="0" applyFont="1" applyFill="1" applyBorder="1" applyAlignment="1">
      <alignment horizontal="center"/>
    </xf>
    <xf numFmtId="0" fontId="6" fillId="13" borderId="18" xfId="0" applyFont="1" applyFill="1" applyBorder="1" applyAlignment="1">
      <alignment horizontal="center"/>
    </xf>
    <xf numFmtId="166" fontId="6" fillId="13" borderId="24" xfId="0" applyNumberFormat="1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6" fillId="18" borderId="15" xfId="0" applyFont="1" applyFill="1" applyBorder="1" applyAlignment="1">
      <alignment horizontal="center"/>
    </xf>
    <xf numFmtId="167" fontId="6" fillId="18" borderId="5" xfId="0" applyNumberFormat="1" applyFont="1" applyFill="1" applyBorder="1" applyAlignment="1">
      <alignment horizontal="center" wrapText="1"/>
    </xf>
    <xf numFmtId="1" fontId="6" fillId="18" borderId="5" xfId="0" applyNumberFormat="1" applyFont="1" applyFill="1" applyBorder="1" applyAlignment="1">
      <alignment horizontal="center" wrapText="1"/>
    </xf>
    <xf numFmtId="1" fontId="6" fillId="15" borderId="5" xfId="0" applyNumberFormat="1" applyFont="1" applyFill="1" applyBorder="1" applyAlignment="1">
      <alignment horizontal="center"/>
    </xf>
    <xf numFmtId="0" fontId="6" fillId="15" borderId="26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166" fontId="6" fillId="15" borderId="20" xfId="0" applyNumberFormat="1" applyFont="1" applyFill="1" applyBorder="1" applyAlignment="1">
      <alignment horizontal="center"/>
    </xf>
    <xf numFmtId="0" fontId="6" fillId="18" borderId="7" xfId="0" applyFont="1" applyFill="1" applyBorder="1" applyAlignment="1">
      <alignment horizontal="center"/>
    </xf>
    <xf numFmtId="0" fontId="6" fillId="15" borderId="7" xfId="0" applyFont="1" applyFill="1" applyBorder="1" applyAlignment="1">
      <alignment horizontal="center"/>
    </xf>
    <xf numFmtId="167" fontId="6" fillId="18" borderId="7" xfId="0" applyNumberFormat="1" applyFont="1" applyFill="1" applyBorder="1" applyAlignment="1">
      <alignment horizontal="center" wrapText="1"/>
    </xf>
    <xf numFmtId="1" fontId="6" fillId="15" borderId="7" xfId="0" applyNumberFormat="1" applyFont="1" applyFill="1" applyBorder="1" applyAlignment="1">
      <alignment horizontal="center"/>
    </xf>
    <xf numFmtId="0" fontId="6" fillId="15" borderId="25" xfId="0" applyFont="1" applyFill="1" applyBorder="1" applyAlignment="1">
      <alignment horizontal="center"/>
    </xf>
    <xf numFmtId="0" fontId="6" fillId="15" borderId="8" xfId="0" applyFont="1" applyFill="1" applyBorder="1" applyAlignment="1">
      <alignment horizontal="center"/>
    </xf>
    <xf numFmtId="166" fontId="6" fillId="15" borderId="21" xfId="0" applyNumberFormat="1" applyFont="1" applyFill="1" applyBorder="1" applyAlignment="1">
      <alignment horizontal="center"/>
    </xf>
    <xf numFmtId="0" fontId="6" fillId="18" borderId="17" xfId="0" applyFont="1" applyFill="1" applyBorder="1" applyAlignment="1">
      <alignment horizontal="center"/>
    </xf>
    <xf numFmtId="0" fontId="6" fillId="15" borderId="17" xfId="0" applyFont="1" applyFill="1" applyBorder="1" applyAlignment="1">
      <alignment horizontal="center"/>
    </xf>
    <xf numFmtId="167" fontId="6" fillId="15" borderId="17" xfId="0" applyNumberFormat="1" applyFont="1" applyFill="1" applyBorder="1" applyAlignment="1">
      <alignment horizontal="center"/>
    </xf>
    <xf numFmtId="1" fontId="6" fillId="15" borderId="17" xfId="0" applyNumberFormat="1" applyFont="1" applyFill="1" applyBorder="1" applyAlignment="1">
      <alignment horizontal="center"/>
    </xf>
    <xf numFmtId="0" fontId="6" fillId="18" borderId="17" xfId="0" applyFont="1" applyFill="1" applyBorder="1" applyAlignment="1">
      <alignment horizontal="center" wrapText="1"/>
    </xf>
    <xf numFmtId="0" fontId="6" fillId="15" borderId="29" xfId="0" applyFont="1" applyFill="1" applyBorder="1" applyAlignment="1">
      <alignment horizontal="center"/>
    </xf>
    <xf numFmtId="0" fontId="6" fillId="15" borderId="18" xfId="0" applyFont="1" applyFill="1" applyBorder="1" applyAlignment="1">
      <alignment horizontal="center"/>
    </xf>
    <xf numFmtId="166" fontId="6" fillId="15" borderId="24" xfId="0" applyNumberFormat="1" applyFont="1" applyFill="1" applyBorder="1" applyAlignment="1">
      <alignment horizontal="center"/>
    </xf>
    <xf numFmtId="0" fontId="6" fillId="17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167" fontId="6" fillId="2" borderId="5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 wrapText="1"/>
    </xf>
    <xf numFmtId="0" fontId="6" fillId="2" borderId="2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166" fontId="6" fillId="2" borderId="20" xfId="0" applyNumberFormat="1" applyFont="1" applyFill="1" applyBorder="1" applyAlignment="1">
      <alignment horizontal="center"/>
    </xf>
    <xf numFmtId="0" fontId="6" fillId="17" borderId="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67" fontId="6" fillId="2" borderId="7" xfId="0" applyNumberFormat="1" applyFont="1" applyFill="1" applyBorder="1" applyAlignment="1">
      <alignment horizontal="center"/>
    </xf>
    <xf numFmtId="1" fontId="6" fillId="2" borderId="7" xfId="0" applyNumberFormat="1" applyFont="1" applyFill="1" applyBorder="1" applyAlignment="1">
      <alignment horizontal="center"/>
    </xf>
    <xf numFmtId="0" fontId="6" fillId="8" borderId="7" xfId="0" applyFont="1" applyFill="1" applyBorder="1" applyAlignment="1">
      <alignment horizontal="center" wrapText="1"/>
    </xf>
    <xf numFmtId="0" fontId="6" fillId="2" borderId="25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166" fontId="6" fillId="2" borderId="21" xfId="0" applyNumberFormat="1" applyFont="1" applyFill="1" applyBorder="1" applyAlignment="1">
      <alignment horizontal="center"/>
    </xf>
    <xf numFmtId="167" fontId="6" fillId="8" borderId="7" xfId="0" applyNumberFormat="1" applyFont="1" applyFill="1" applyBorder="1" applyAlignment="1">
      <alignment horizontal="center" wrapText="1"/>
    </xf>
    <xf numFmtId="1" fontId="6" fillId="8" borderId="7" xfId="0" applyNumberFormat="1" applyFont="1" applyFill="1" applyBorder="1" applyAlignment="1">
      <alignment horizontal="center" wrapText="1"/>
    </xf>
    <xf numFmtId="0" fontId="6" fillId="17" borderId="13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167" fontId="6" fillId="8" borderId="13" xfId="0" applyNumberFormat="1" applyFont="1" applyFill="1" applyBorder="1" applyAlignment="1">
      <alignment horizontal="center" wrapText="1"/>
    </xf>
    <xf numFmtId="1" fontId="6" fillId="8" borderId="13" xfId="0" applyNumberFormat="1" applyFont="1" applyFill="1" applyBorder="1" applyAlignment="1">
      <alignment horizontal="center" wrapText="1"/>
    </xf>
    <xf numFmtId="0" fontId="6" fillId="8" borderId="13" xfId="0" applyFont="1" applyFill="1" applyBorder="1" applyAlignment="1">
      <alignment horizontal="center" wrapText="1"/>
    </xf>
    <xf numFmtId="1" fontId="6" fillId="2" borderId="13" xfId="0" applyNumberFormat="1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166" fontId="6" fillId="2" borderId="22" xfId="0" applyNumberFormat="1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167" fontId="6" fillId="7" borderId="15" xfId="0" applyNumberFormat="1" applyFont="1" applyFill="1" applyBorder="1" applyAlignment="1">
      <alignment horizontal="center" wrapText="1"/>
    </xf>
    <xf numFmtId="1" fontId="6" fillId="7" borderId="15" xfId="0" applyNumberFormat="1" applyFont="1" applyFill="1" applyBorder="1" applyAlignment="1">
      <alignment horizontal="center" wrapText="1"/>
    </xf>
    <xf numFmtId="0" fontId="6" fillId="7" borderId="15" xfId="0" applyFont="1" applyFill="1" applyBorder="1" applyAlignment="1">
      <alignment horizontal="center" wrapText="1"/>
    </xf>
    <xf numFmtId="1" fontId="6" fillId="3" borderId="15" xfId="0" applyNumberFormat="1" applyFont="1" applyFill="1" applyBorder="1" applyAlignment="1">
      <alignment horizontal="center"/>
    </xf>
    <xf numFmtId="0" fontId="6" fillId="3" borderId="28" xfId="0" applyFont="1" applyFill="1" applyBorder="1" applyAlignment="1">
      <alignment horizontal="center"/>
    </xf>
    <xf numFmtId="0" fontId="6" fillId="3" borderId="16" xfId="0" applyFont="1" applyFill="1" applyBorder="1" applyAlignment="1">
      <alignment horizontal="center"/>
    </xf>
    <xf numFmtId="166" fontId="6" fillId="3" borderId="23" xfId="0" applyNumberFormat="1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167" fontId="6" fillId="7" borderId="7" xfId="0" applyNumberFormat="1" applyFont="1" applyFill="1" applyBorder="1" applyAlignment="1">
      <alignment horizontal="center" wrapText="1"/>
    </xf>
    <xf numFmtId="1" fontId="6" fillId="7" borderId="7" xfId="0" applyNumberFormat="1" applyFont="1" applyFill="1" applyBorder="1" applyAlignment="1">
      <alignment horizontal="center" wrapText="1"/>
    </xf>
    <xf numFmtId="0" fontId="6" fillId="7" borderId="7" xfId="0" applyFont="1" applyFill="1" applyBorder="1" applyAlignment="1">
      <alignment horizontal="center" wrapText="1"/>
    </xf>
    <xf numFmtId="1" fontId="6" fillId="3" borderId="7" xfId="0" applyNumberFormat="1" applyFont="1" applyFill="1" applyBorder="1" applyAlignment="1">
      <alignment horizontal="center"/>
    </xf>
    <xf numFmtId="0" fontId="6" fillId="3" borderId="25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166" fontId="6" fillId="3" borderId="21" xfId="0" applyNumberFormat="1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167" fontId="6" fillId="7" borderId="17" xfId="0" applyNumberFormat="1" applyFont="1" applyFill="1" applyBorder="1" applyAlignment="1">
      <alignment horizontal="center" wrapText="1"/>
    </xf>
    <xf numFmtId="1" fontId="6" fillId="7" borderId="17" xfId="0" applyNumberFormat="1" applyFont="1" applyFill="1" applyBorder="1" applyAlignment="1">
      <alignment horizontal="center" wrapText="1"/>
    </xf>
    <xf numFmtId="0" fontId="6" fillId="7" borderId="17" xfId="0" applyFont="1" applyFill="1" applyBorder="1" applyAlignment="1">
      <alignment horizontal="center" wrapText="1"/>
    </xf>
    <xf numFmtId="1" fontId="6" fillId="3" borderId="17" xfId="0" applyNumberFormat="1" applyFont="1" applyFill="1" applyBorder="1" applyAlignment="1">
      <alignment horizontal="center"/>
    </xf>
    <xf numFmtId="0" fontId="6" fillId="3" borderId="29" xfId="0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166" fontId="6" fillId="3" borderId="24" xfId="0" applyNumberFormat="1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167" fontId="6" fillId="6" borderId="5" xfId="0" applyNumberFormat="1" applyFont="1" applyFill="1" applyBorder="1" applyAlignment="1">
      <alignment horizontal="center" wrapText="1"/>
    </xf>
    <xf numFmtId="1" fontId="6" fillId="6" borderId="5" xfId="0" applyNumberFormat="1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 wrapText="1"/>
    </xf>
    <xf numFmtId="0" fontId="6" fillId="6" borderId="7" xfId="0" applyFont="1" applyFill="1" applyBorder="1" applyAlignment="1">
      <alignment horizontal="center" wrapText="1"/>
    </xf>
    <xf numFmtId="1" fontId="6" fillId="4" borderId="5" xfId="0" applyNumberFormat="1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6" fontId="6" fillId="4" borderId="20" xfId="0" applyNumberFormat="1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67" fontId="6" fillId="6" borderId="7" xfId="0" applyNumberFormat="1" applyFont="1" applyFill="1" applyBorder="1" applyAlignment="1">
      <alignment horizontal="center" wrapText="1"/>
    </xf>
    <xf numFmtId="1" fontId="6" fillId="6" borderId="7" xfId="0" applyNumberFormat="1" applyFont="1" applyFill="1" applyBorder="1" applyAlignment="1">
      <alignment horizontal="center" wrapText="1"/>
    </xf>
    <xf numFmtId="1" fontId="6" fillId="4" borderId="7" xfId="0" applyNumberFormat="1" applyFont="1" applyFill="1" applyBorder="1" applyAlignment="1">
      <alignment horizontal="center"/>
    </xf>
    <xf numFmtId="0" fontId="6" fillId="4" borderId="25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166" fontId="6" fillId="4" borderId="21" xfId="0" applyNumberFormat="1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0" fontId="6" fillId="11" borderId="7" xfId="0" applyFont="1" applyFill="1" applyBorder="1" applyAlignment="1">
      <alignment horizontal="center"/>
    </xf>
    <xf numFmtId="167" fontId="6" fillId="14" borderId="7" xfId="0" applyNumberFormat="1" applyFont="1" applyFill="1" applyBorder="1" applyAlignment="1">
      <alignment horizontal="center" wrapText="1"/>
    </xf>
    <xf numFmtId="1" fontId="6" fillId="14" borderId="7" xfId="0" applyNumberFormat="1" applyFont="1" applyFill="1" applyBorder="1" applyAlignment="1">
      <alignment horizontal="center" wrapText="1"/>
    </xf>
    <xf numFmtId="0" fontId="6" fillId="14" borderId="7" xfId="0" applyFont="1" applyFill="1" applyBorder="1" applyAlignment="1">
      <alignment horizontal="center" wrapText="1"/>
    </xf>
    <xf numFmtId="164" fontId="6" fillId="14" borderId="7" xfId="0" applyNumberFormat="1" applyFont="1" applyFill="1" applyBorder="1" applyAlignment="1">
      <alignment horizontal="center" wrapText="1"/>
    </xf>
    <xf numFmtId="0" fontId="6" fillId="11" borderId="25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166" fontId="6" fillId="11" borderId="21" xfId="0" applyNumberFormat="1" applyFont="1" applyFill="1" applyBorder="1" applyAlignment="1">
      <alignment horizontal="center"/>
    </xf>
    <xf numFmtId="0" fontId="6" fillId="6" borderId="25" xfId="0" applyFont="1" applyFill="1" applyBorder="1" applyAlignment="1">
      <alignment horizontal="center" wrapText="1"/>
    </xf>
    <xf numFmtId="0" fontId="6" fillId="6" borderId="8" xfId="0" applyFont="1" applyFill="1" applyBorder="1" applyAlignment="1">
      <alignment horizontal="center" wrapText="1"/>
    </xf>
    <xf numFmtId="166" fontId="6" fillId="6" borderId="21" xfId="0" applyNumberFormat="1" applyFont="1" applyFill="1" applyBorder="1" applyAlignment="1">
      <alignment horizontal="center" wrapText="1"/>
    </xf>
    <xf numFmtId="0" fontId="6" fillId="4" borderId="13" xfId="0" applyFont="1" applyFill="1" applyBorder="1" applyAlignment="1">
      <alignment horizontal="center"/>
    </xf>
    <xf numFmtId="167" fontId="6" fillId="6" borderId="13" xfId="0" applyNumberFormat="1" applyFont="1" applyFill="1" applyBorder="1" applyAlignment="1">
      <alignment horizontal="center" wrapText="1"/>
    </xf>
    <xf numFmtId="1" fontId="6" fillId="6" borderId="13" xfId="0" applyNumberFormat="1" applyFont="1" applyFill="1" applyBorder="1" applyAlignment="1">
      <alignment horizontal="center" wrapText="1"/>
    </xf>
    <xf numFmtId="0" fontId="6" fillId="6" borderId="13" xfId="0" applyFont="1" applyFill="1" applyBorder="1" applyAlignment="1">
      <alignment horizontal="center" wrapText="1"/>
    </xf>
    <xf numFmtId="1" fontId="6" fillId="4" borderId="13" xfId="0" applyNumberFormat="1" applyFont="1" applyFill="1" applyBorder="1" applyAlignment="1">
      <alignment horizontal="center"/>
    </xf>
    <xf numFmtId="0" fontId="6" fillId="4" borderId="27" xfId="0" applyFont="1" applyFill="1" applyBorder="1" applyAlignment="1">
      <alignment horizontal="center"/>
    </xf>
    <xf numFmtId="0" fontId="6" fillId="4" borderId="14" xfId="0" applyFont="1" applyFill="1" applyBorder="1" applyAlignment="1">
      <alignment horizontal="center"/>
    </xf>
    <xf numFmtId="166" fontId="6" fillId="4" borderId="22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6" fillId="10" borderId="19" xfId="0" applyFont="1" applyFill="1" applyBorder="1" applyAlignment="1">
      <alignment horizontal="center"/>
    </xf>
    <xf numFmtId="0" fontId="6" fillId="10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10" borderId="1" xfId="0" applyFont="1" applyFill="1" applyBorder="1"/>
    <xf numFmtId="0" fontId="5" fillId="5" borderId="3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32" xfId="0" applyFont="1" applyFill="1" applyBorder="1" applyAlignment="1">
      <alignment horizontal="center" vertical="center" wrapText="1"/>
    </xf>
    <xf numFmtId="166" fontId="0" fillId="0" borderId="2" xfId="0" applyNumberFormat="1" applyBorder="1" applyAlignment="1">
      <alignment horizontal="center"/>
    </xf>
    <xf numFmtId="166" fontId="5" fillId="5" borderId="33" xfId="0" applyNumberFormat="1" applyFont="1" applyFill="1" applyBorder="1" applyAlignment="1">
      <alignment horizontal="center" vertical="center" wrapText="1"/>
    </xf>
    <xf numFmtId="166" fontId="6" fillId="12" borderId="20" xfId="0" applyNumberFormat="1" applyFont="1" applyFill="1" applyBorder="1" applyAlignment="1">
      <alignment horizontal="center"/>
    </xf>
    <xf numFmtId="166" fontId="6" fillId="12" borderId="42" xfId="0" applyNumberFormat="1" applyFont="1" applyFill="1" applyBorder="1" applyAlignment="1">
      <alignment horizontal="center"/>
    </xf>
    <xf numFmtId="0" fontId="7" fillId="12" borderId="5" xfId="0" applyFont="1" applyFill="1" applyBorder="1" applyAlignment="1">
      <alignment horizontal="center"/>
    </xf>
    <xf numFmtId="167" fontId="7" fillId="12" borderId="5" xfId="0" applyNumberFormat="1" applyFont="1" applyFill="1" applyBorder="1" applyAlignment="1">
      <alignment horizontal="center"/>
    </xf>
    <xf numFmtId="1" fontId="7" fillId="12" borderId="5" xfId="0" applyNumberFormat="1" applyFont="1" applyFill="1" applyBorder="1" applyAlignment="1">
      <alignment horizontal="center"/>
    </xf>
    <xf numFmtId="0" fontId="7" fillId="12" borderId="7" xfId="0" applyFont="1" applyFill="1" applyBorder="1" applyAlignment="1">
      <alignment horizontal="center"/>
    </xf>
    <xf numFmtId="1" fontId="7" fillId="12" borderId="35" xfId="0" applyNumberFormat="1" applyFont="1" applyFill="1" applyBorder="1" applyAlignment="1">
      <alignment horizontal="center"/>
    </xf>
    <xf numFmtId="0" fontId="7" fillId="12" borderId="26" xfId="0" applyFont="1" applyFill="1" applyBorder="1" applyAlignment="1">
      <alignment horizontal="center"/>
    </xf>
    <xf numFmtId="0" fontId="7" fillId="12" borderId="36" xfId="0" applyFont="1" applyFill="1" applyBorder="1" applyAlignment="1">
      <alignment horizontal="center"/>
    </xf>
    <xf numFmtId="166" fontId="7" fillId="12" borderId="20" xfId="0" applyNumberFormat="1" applyFont="1" applyFill="1" applyBorder="1" applyAlignment="1">
      <alignment horizontal="center"/>
    </xf>
    <xf numFmtId="166" fontId="7" fillId="12" borderId="23" xfId="0" applyNumberFormat="1" applyFont="1" applyFill="1" applyBorder="1" applyAlignment="1">
      <alignment horizontal="center"/>
    </xf>
    <xf numFmtId="0" fontId="6" fillId="16" borderId="7" xfId="0" applyFont="1" applyFill="1" applyBorder="1" applyAlignment="1">
      <alignment horizontal="center"/>
    </xf>
    <xf numFmtId="0" fontId="6" fillId="21" borderId="7" xfId="0" applyFont="1" applyFill="1" applyBorder="1" applyAlignment="1">
      <alignment horizontal="center"/>
    </xf>
    <xf numFmtId="0" fontId="6" fillId="6" borderId="13" xfId="0" applyFont="1" applyFill="1" applyBorder="1" applyAlignment="1">
      <alignment horizontal="center"/>
    </xf>
    <xf numFmtId="0" fontId="6" fillId="21" borderId="15" xfId="0" applyFont="1" applyFill="1" applyBorder="1" applyAlignment="1">
      <alignment horizontal="center"/>
    </xf>
    <xf numFmtId="0" fontId="6" fillId="16" borderId="17" xfId="0" applyFont="1" applyFill="1" applyBorder="1" applyAlignment="1">
      <alignment horizontal="center"/>
    </xf>
    <xf numFmtId="0" fontId="6" fillId="23" borderId="7" xfId="0" applyFont="1" applyFill="1" applyBorder="1" applyAlignment="1">
      <alignment horizontal="center"/>
    </xf>
    <xf numFmtId="0" fontId="6" fillId="23" borderId="13" xfId="0" applyFont="1" applyFill="1" applyBorder="1" applyAlignment="1">
      <alignment horizontal="center"/>
    </xf>
    <xf numFmtId="0" fontId="6" fillId="23" borderId="5" xfId="0" applyFont="1" applyFill="1" applyBorder="1" applyAlignment="1">
      <alignment horizontal="center"/>
    </xf>
    <xf numFmtId="0" fontId="6" fillId="24" borderId="15" xfId="0" applyFont="1" applyFill="1" applyBorder="1" applyAlignment="1">
      <alignment horizontal="center"/>
    </xf>
    <xf numFmtId="0" fontId="6" fillId="24" borderId="7" xfId="0" applyFont="1" applyFill="1" applyBorder="1" applyAlignment="1">
      <alignment horizontal="center"/>
    </xf>
    <xf numFmtId="0" fontId="6" fillId="24" borderId="17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/>
    </xf>
    <xf numFmtId="0" fontId="6" fillId="25" borderId="7" xfId="0" applyFont="1" applyFill="1" applyBorder="1" applyAlignment="1">
      <alignment horizontal="center" wrapText="1"/>
    </xf>
    <xf numFmtId="0" fontId="6" fillId="26" borderId="7" xfId="0" applyFont="1" applyFill="1" applyBorder="1" applyAlignment="1">
      <alignment horizontal="center"/>
    </xf>
    <xf numFmtId="167" fontId="6" fillId="25" borderId="7" xfId="0" applyNumberFormat="1" applyFont="1" applyFill="1" applyBorder="1" applyAlignment="1">
      <alignment horizontal="center" wrapText="1"/>
    </xf>
    <xf numFmtId="1" fontId="6" fillId="25" borderId="7" xfId="0" applyNumberFormat="1" applyFont="1" applyFill="1" applyBorder="1" applyAlignment="1">
      <alignment horizontal="center" wrapText="1"/>
    </xf>
    <xf numFmtId="0" fontId="6" fillId="26" borderId="5" xfId="0" applyFont="1" applyFill="1" applyBorder="1" applyAlignment="1">
      <alignment horizontal="center"/>
    </xf>
    <xf numFmtId="1" fontId="6" fillId="26" borderId="7" xfId="0" applyNumberFormat="1" applyFont="1" applyFill="1" applyBorder="1" applyAlignment="1">
      <alignment horizontal="center"/>
    </xf>
    <xf numFmtId="0" fontId="6" fillId="26" borderId="25" xfId="0" applyFont="1" applyFill="1" applyBorder="1" applyAlignment="1">
      <alignment horizontal="center"/>
    </xf>
    <xf numFmtId="0" fontId="6" fillId="26" borderId="8" xfId="0" applyFont="1" applyFill="1" applyBorder="1" applyAlignment="1">
      <alignment horizontal="center"/>
    </xf>
    <xf numFmtId="166" fontId="6" fillId="26" borderId="21" xfId="0" applyNumberFormat="1" applyFont="1" applyFill="1" applyBorder="1" applyAlignment="1">
      <alignment horizontal="center"/>
    </xf>
    <xf numFmtId="166" fontId="5" fillId="5" borderId="30" xfId="0" applyNumberFormat="1" applyFont="1" applyFill="1" applyBorder="1" applyAlignment="1">
      <alignment horizontal="center" vertical="center" wrapText="1"/>
    </xf>
    <xf numFmtId="166" fontId="6" fillId="12" borderId="15" xfId="0" applyNumberFormat="1" applyFont="1" applyFill="1" applyBorder="1" applyAlignment="1">
      <alignment horizontal="center"/>
    </xf>
    <xf numFmtId="166" fontId="7" fillId="12" borderId="5" xfId="0" applyNumberFormat="1" applyFont="1" applyFill="1" applyBorder="1" applyAlignment="1">
      <alignment horizontal="center"/>
    </xf>
    <xf numFmtId="166" fontId="6" fillId="12" borderId="5" xfId="0" applyNumberFormat="1" applyFont="1" applyFill="1" applyBorder="1" applyAlignment="1">
      <alignment horizontal="center"/>
    </xf>
    <xf numFmtId="166" fontId="6" fillId="12" borderId="38" xfId="0" applyNumberFormat="1" applyFont="1" applyFill="1" applyBorder="1" applyAlignment="1">
      <alignment horizontal="center"/>
    </xf>
    <xf numFmtId="166" fontId="6" fillId="19" borderId="15" xfId="0" applyNumberFormat="1" applyFont="1" applyFill="1" applyBorder="1" applyAlignment="1">
      <alignment horizontal="center" wrapText="1"/>
    </xf>
    <xf numFmtId="166" fontId="6" fillId="19" borderId="7" xfId="0" applyNumberFormat="1" applyFont="1" applyFill="1" applyBorder="1" applyAlignment="1">
      <alignment horizontal="center" wrapText="1"/>
    </xf>
    <xf numFmtId="166" fontId="6" fillId="19" borderId="17" xfId="0" applyNumberFormat="1" applyFont="1" applyFill="1" applyBorder="1" applyAlignment="1">
      <alignment horizontal="center" wrapText="1"/>
    </xf>
    <xf numFmtId="166" fontId="6" fillId="18" borderId="5" xfId="0" applyNumberFormat="1" applyFont="1" applyFill="1" applyBorder="1" applyAlignment="1">
      <alignment horizontal="center" wrapText="1"/>
    </xf>
    <xf numFmtId="166" fontId="6" fillId="15" borderId="17" xfId="0" applyNumberFormat="1" applyFont="1" applyFill="1" applyBorder="1" applyAlignment="1">
      <alignment horizontal="center"/>
    </xf>
    <xf numFmtId="166" fontId="6" fillId="2" borderId="5" xfId="0" applyNumberFormat="1" applyFont="1" applyFill="1" applyBorder="1" applyAlignment="1">
      <alignment horizontal="center"/>
    </xf>
    <xf numFmtId="166" fontId="6" fillId="2" borderId="7" xfId="0" applyNumberFormat="1" applyFont="1" applyFill="1" applyBorder="1" applyAlignment="1">
      <alignment horizontal="center"/>
    </xf>
    <xf numFmtId="166" fontId="6" fillId="8" borderId="7" xfId="0" applyNumberFormat="1" applyFont="1" applyFill="1" applyBorder="1" applyAlignment="1">
      <alignment horizontal="center" wrapText="1"/>
    </xf>
    <xf numFmtId="166" fontId="6" fillId="8" borderId="13" xfId="0" applyNumberFormat="1" applyFont="1" applyFill="1" applyBorder="1" applyAlignment="1">
      <alignment horizontal="center" wrapText="1"/>
    </xf>
    <xf numFmtId="166" fontId="6" fillId="7" borderId="15" xfId="0" applyNumberFormat="1" applyFont="1" applyFill="1" applyBorder="1" applyAlignment="1">
      <alignment horizontal="center" wrapText="1"/>
    </xf>
    <xf numFmtId="166" fontId="6" fillId="7" borderId="7" xfId="0" applyNumberFormat="1" applyFont="1" applyFill="1" applyBorder="1" applyAlignment="1">
      <alignment horizontal="center" wrapText="1"/>
    </xf>
    <xf numFmtId="166" fontId="6" fillId="7" borderId="17" xfId="0" applyNumberFormat="1" applyFont="1" applyFill="1" applyBorder="1" applyAlignment="1">
      <alignment horizontal="center" wrapText="1"/>
    </xf>
    <xf numFmtId="166" fontId="6" fillId="6" borderId="5" xfId="0" applyNumberFormat="1" applyFont="1" applyFill="1" applyBorder="1" applyAlignment="1">
      <alignment horizontal="center" wrapText="1"/>
    </xf>
    <xf numFmtId="166" fontId="6" fillId="6" borderId="7" xfId="0" applyNumberFormat="1" applyFont="1" applyFill="1" applyBorder="1" applyAlignment="1">
      <alignment horizontal="center" wrapText="1"/>
    </xf>
    <xf numFmtId="166" fontId="6" fillId="14" borderId="7" xfId="0" applyNumberFormat="1" applyFont="1" applyFill="1" applyBorder="1" applyAlignment="1">
      <alignment horizontal="center" wrapText="1"/>
    </xf>
    <xf numFmtId="166" fontId="6" fillId="6" borderId="13" xfId="0" applyNumberFormat="1" applyFont="1" applyFill="1" applyBorder="1" applyAlignment="1">
      <alignment horizontal="center" wrapText="1"/>
    </xf>
    <xf numFmtId="166" fontId="6" fillId="21" borderId="15" xfId="0" applyNumberFormat="1" applyFont="1" applyFill="1" applyBorder="1" applyAlignment="1">
      <alignment horizontal="center" wrapText="1"/>
    </xf>
    <xf numFmtId="166" fontId="6" fillId="21" borderId="5" xfId="0" applyNumberFormat="1" applyFont="1" applyFill="1" applyBorder="1" applyAlignment="1">
      <alignment horizontal="center" wrapText="1"/>
    </xf>
    <xf numFmtId="166" fontId="6" fillId="16" borderId="5" xfId="0" applyNumberFormat="1" applyFont="1" applyFill="1" applyBorder="1" applyAlignment="1">
      <alignment horizontal="center" wrapText="1"/>
    </xf>
    <xf numFmtId="166" fontId="6" fillId="16" borderId="7" xfId="0" applyNumberFormat="1" applyFont="1" applyFill="1" applyBorder="1" applyAlignment="1">
      <alignment horizontal="center" wrapText="1"/>
    </xf>
    <xf numFmtId="166" fontId="6" fillId="25" borderId="7" xfId="0" applyNumberFormat="1" applyFont="1" applyFill="1" applyBorder="1" applyAlignment="1">
      <alignment horizontal="center" wrapText="1"/>
    </xf>
    <xf numFmtId="166" fontId="6" fillId="16" borderId="17" xfId="0" applyNumberFormat="1" applyFont="1" applyFill="1" applyBorder="1" applyAlignment="1">
      <alignment horizontal="center" wrapText="1"/>
    </xf>
    <xf numFmtId="0" fontId="1" fillId="0" borderId="0" xfId="1"/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2" fontId="6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2" fontId="5" fillId="5" borderId="33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25" borderId="15" xfId="0" applyFont="1" applyFill="1" applyBorder="1" applyAlignment="1">
      <alignment horizontal="center"/>
    </xf>
    <xf numFmtId="0" fontId="6" fillId="25" borderId="5" xfId="0" applyFont="1" applyFill="1" applyBorder="1" applyAlignment="1">
      <alignment horizontal="center"/>
    </xf>
    <xf numFmtId="0" fontId="6" fillId="26" borderId="15" xfId="0" applyFont="1" applyFill="1" applyBorder="1" applyAlignment="1">
      <alignment horizontal="center"/>
    </xf>
    <xf numFmtId="167" fontId="6" fillId="25" borderId="15" xfId="0" applyNumberFormat="1" applyFont="1" applyFill="1" applyBorder="1" applyAlignment="1">
      <alignment horizontal="center" wrapText="1"/>
    </xf>
    <xf numFmtId="166" fontId="6" fillId="25" borderId="15" xfId="0" applyNumberFormat="1" applyFont="1" applyFill="1" applyBorder="1" applyAlignment="1">
      <alignment horizontal="center" wrapText="1"/>
    </xf>
    <xf numFmtId="1" fontId="6" fillId="25" borderId="15" xfId="0" applyNumberFormat="1" applyFont="1" applyFill="1" applyBorder="1" applyAlignment="1">
      <alignment horizontal="center" wrapText="1"/>
    </xf>
    <xf numFmtId="0" fontId="6" fillId="25" borderId="15" xfId="0" applyFont="1" applyFill="1" applyBorder="1" applyAlignment="1">
      <alignment horizontal="center" wrapText="1"/>
    </xf>
    <xf numFmtId="1" fontId="6" fillId="26" borderId="15" xfId="0" applyNumberFormat="1" applyFont="1" applyFill="1" applyBorder="1" applyAlignment="1">
      <alignment horizontal="center"/>
    </xf>
    <xf numFmtId="0" fontId="6" fillId="26" borderId="28" xfId="0" applyFont="1" applyFill="1" applyBorder="1" applyAlignment="1">
      <alignment horizontal="center"/>
    </xf>
    <xf numFmtId="0" fontId="6" fillId="26" borderId="16" xfId="0" applyFont="1" applyFill="1" applyBorder="1" applyAlignment="1">
      <alignment horizontal="center"/>
    </xf>
    <xf numFmtId="166" fontId="6" fillId="26" borderId="23" xfId="0" applyNumberFormat="1" applyFont="1" applyFill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6" fillId="12" borderId="30" xfId="0" applyFont="1" applyFill="1" applyBorder="1" applyAlignment="1">
      <alignment horizontal="center" vertical="center" textRotation="90"/>
    </xf>
    <xf numFmtId="0" fontId="6" fillId="13" borderId="30" xfId="0" applyFont="1" applyFill="1" applyBorder="1" applyAlignment="1">
      <alignment horizontal="center" vertical="center" textRotation="90"/>
    </xf>
    <xf numFmtId="0" fontId="6" fillId="3" borderId="30" xfId="0" applyFont="1" applyFill="1" applyBorder="1" applyAlignment="1">
      <alignment horizontal="center" vertical="center" textRotation="90"/>
    </xf>
    <xf numFmtId="0" fontId="6" fillId="9" borderId="30" xfId="0" applyFont="1" applyFill="1" applyBorder="1" applyAlignment="1">
      <alignment horizontal="center" vertical="center" textRotation="90"/>
    </xf>
    <xf numFmtId="0" fontId="6" fillId="2" borderId="30" xfId="0" applyFont="1" applyFill="1" applyBorder="1" applyAlignment="1">
      <alignment horizontal="center" vertical="center" textRotation="90"/>
    </xf>
    <xf numFmtId="0" fontId="6" fillId="15" borderId="30" xfId="0" applyFont="1" applyFill="1" applyBorder="1" applyAlignment="1">
      <alignment horizontal="center" vertical="center" textRotation="90" wrapText="1"/>
    </xf>
    <xf numFmtId="0" fontId="6" fillId="4" borderId="43" xfId="0" applyFont="1" applyFill="1" applyBorder="1" applyAlignment="1">
      <alignment horizontal="center" vertical="center" textRotation="90"/>
    </xf>
    <xf numFmtId="0" fontId="6" fillId="4" borderId="44" xfId="0" applyFont="1" applyFill="1" applyBorder="1" applyAlignment="1">
      <alignment horizontal="center" vertical="center" textRotation="90"/>
    </xf>
    <xf numFmtId="0" fontId="6" fillId="4" borderId="38" xfId="0" applyFont="1" applyFill="1" applyBorder="1" applyAlignment="1">
      <alignment horizontal="center" vertical="center" textRotation="90"/>
    </xf>
    <xf numFmtId="0" fontId="8" fillId="0" borderId="0" xfId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D987BBCC-AC19-4DE6-AD4E-C17DB6A32E4D}"/>
  </cellStyles>
  <dxfs count="0"/>
  <tableStyles count="0" defaultTableStyle="TableStyleMedium2" defaultPivotStyle="PivotStyleLight16"/>
  <colors>
    <mruColors>
      <color rgb="FFCCFF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2</xdr:row>
      <xdr:rowOff>66674</xdr:rowOff>
    </xdr:from>
    <xdr:ext cx="9684740" cy="5229225"/>
    <xdr:pic>
      <xdr:nvPicPr>
        <xdr:cNvPr id="2" name="Picture 1">
          <a:extLst>
            <a:ext uri="{FF2B5EF4-FFF2-40B4-BE49-F238E27FC236}">
              <a16:creationId xmlns:a16="http://schemas.microsoft.com/office/drawing/2014/main" id="{1023C97E-E6BF-434C-8636-E046AFE6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390524"/>
          <a:ext cx="9684740" cy="52292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NativeFish\Data%20Reporting\20-mm%20Catch%20Summaries\2026\2026%2020-mm%20DS%20and%20LFS%20Reporting.xlsx" TargetMode="External"/><Relationship Id="rId1" Type="http://schemas.openxmlformats.org/officeDocument/2006/relationships/externalLinkPath" Target="2026%2020-mm%20DS%20and%20LFS%20Report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rvey 1"/>
      <sheetName val="Survey 2"/>
      <sheetName val="Survey 3"/>
      <sheetName val="Survey 4"/>
      <sheetName val="Survey 5"/>
      <sheetName val="Survey 6"/>
      <sheetName val="Survey 7"/>
      <sheetName val="Survey 8"/>
      <sheetName val="Survey 9"/>
    </sheetNames>
    <sheetDataSet>
      <sheetData sheetId="0">
        <row r="3">
          <cell r="B3">
            <v>2026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525-E545-42E6-8F87-2261CC77D4B7}">
  <dimension ref="A1:P84"/>
  <sheetViews>
    <sheetView topLeftCell="A56" zoomScaleNormal="100" zoomScaleSheetLayoutView="100" workbookViewId="0">
      <selection activeCell="G64" sqref="G64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3" width="8.44140625" style="4" customWidth="1"/>
    <col min="4" max="4" width="8.6640625" style="4" customWidth="1"/>
    <col min="5" max="5" width="8.5546875" style="4" customWidth="1"/>
    <col min="6" max="6" width="9.5546875" style="13" customWidth="1"/>
    <col min="7" max="7" width="8" style="4" customWidth="1"/>
    <col min="8" max="8" width="12.109375" style="4" customWidth="1"/>
    <col min="9" max="9" width="15.5546875" style="9" customWidth="1"/>
    <col min="10" max="10" width="7" style="4" customWidth="1"/>
    <col min="11" max="11" width="19.88671875" style="4" bestFit="1" customWidth="1"/>
    <col min="12" max="13" width="8.33203125" style="4" customWidth="1"/>
    <col min="14" max="14" width="8.33203125" style="13" customWidth="1"/>
    <col min="15" max="15" width="7.6640625" style="214" customWidth="1"/>
    <col min="16" max="16" width="7.109375" style="4" customWidth="1"/>
    <col min="17" max="16384" width="9.109375" style="4"/>
  </cols>
  <sheetData>
    <row r="1" spans="1:16" ht="14.4" thickBot="1" x14ac:dyDescent="0.3">
      <c r="A1" s="1"/>
      <c r="B1" s="2"/>
      <c r="C1" s="2"/>
      <c r="D1" s="2"/>
      <c r="E1" s="2"/>
      <c r="F1" s="219"/>
      <c r="G1" s="2"/>
      <c r="H1" s="2"/>
      <c r="I1" s="8"/>
      <c r="J1" s="2"/>
      <c r="K1" s="2"/>
      <c r="L1" s="2"/>
      <c r="M1" s="2"/>
      <c r="N1" s="219"/>
      <c r="P1" s="3"/>
    </row>
    <row r="2" spans="1:16" ht="36" customHeight="1" thickBot="1" x14ac:dyDescent="0.3">
      <c r="A2" s="5"/>
      <c r="B2" s="216" t="s">
        <v>0</v>
      </c>
      <c r="C2" s="216" t="s">
        <v>1</v>
      </c>
      <c r="D2" s="216" t="s">
        <v>2</v>
      </c>
      <c r="E2" s="216" t="s">
        <v>3</v>
      </c>
      <c r="F2" s="253" t="s">
        <v>26</v>
      </c>
      <c r="G2" s="216" t="s">
        <v>14</v>
      </c>
      <c r="H2" s="216" t="s">
        <v>4</v>
      </c>
      <c r="I2" s="216" t="s">
        <v>12</v>
      </c>
      <c r="J2" s="216" t="s">
        <v>5</v>
      </c>
      <c r="K2" s="216" t="s">
        <v>13</v>
      </c>
      <c r="L2" s="217" t="s">
        <v>9</v>
      </c>
      <c r="M2" s="218" t="s">
        <v>10</v>
      </c>
      <c r="N2" s="220" t="s">
        <v>11</v>
      </c>
      <c r="O2" s="50"/>
      <c r="P2" s="3"/>
    </row>
    <row r="3" spans="1:16" ht="19.5" customHeight="1" thickBot="1" x14ac:dyDescent="0.3">
      <c r="A3" s="5"/>
      <c r="B3" s="51">
        <v>2026</v>
      </c>
      <c r="C3" s="51">
        <v>1</v>
      </c>
      <c r="D3" s="51">
        <v>306</v>
      </c>
      <c r="E3" s="52"/>
      <c r="F3" s="254"/>
      <c r="G3" s="53"/>
      <c r="H3" s="51"/>
      <c r="I3" s="51"/>
      <c r="J3" s="54"/>
      <c r="K3" s="53"/>
      <c r="L3" s="55"/>
      <c r="M3" s="56"/>
      <c r="N3" s="231"/>
      <c r="O3" s="305" t="s">
        <v>17</v>
      </c>
      <c r="P3" s="3"/>
    </row>
    <row r="4" spans="1:16" ht="19.5" customHeight="1" thickBot="1" x14ac:dyDescent="0.3">
      <c r="A4" s="5"/>
      <c r="B4" s="57">
        <f>B3</f>
        <v>2026</v>
      </c>
      <c r="C4" s="58">
        <f t="shared" ref="C4:C15" si="0">C3</f>
        <v>1</v>
      </c>
      <c r="D4" s="223">
        <v>308</v>
      </c>
      <c r="E4" s="224"/>
      <c r="F4" s="255"/>
      <c r="G4" s="225"/>
      <c r="H4" s="223"/>
      <c r="I4" s="226"/>
      <c r="J4" s="227"/>
      <c r="K4" s="225"/>
      <c r="L4" s="228"/>
      <c r="M4" s="229"/>
      <c r="N4" s="230"/>
      <c r="O4" s="305"/>
      <c r="P4" s="3"/>
    </row>
    <row r="5" spans="1:16" ht="19.5" customHeight="1" thickBot="1" x14ac:dyDescent="0.3">
      <c r="A5" s="5"/>
      <c r="B5" s="57">
        <f t="shared" ref="B5:B14" si="1">B4</f>
        <v>2026</v>
      </c>
      <c r="C5" s="58">
        <f t="shared" si="0"/>
        <v>1</v>
      </c>
      <c r="D5" s="57">
        <v>311</v>
      </c>
      <c r="E5" s="59"/>
      <c r="F5" s="256"/>
      <c r="G5" s="60"/>
      <c r="H5" s="57"/>
      <c r="I5" s="61"/>
      <c r="J5" s="62"/>
      <c r="K5" s="60"/>
      <c r="L5" s="63"/>
      <c r="M5" s="64"/>
      <c r="N5" s="221"/>
      <c r="O5" s="305"/>
      <c r="P5" s="3"/>
    </row>
    <row r="6" spans="1:16" ht="19.5" customHeight="1" thickBot="1" x14ac:dyDescent="0.3">
      <c r="A6" s="5"/>
      <c r="B6" s="57">
        <f t="shared" si="1"/>
        <v>2026</v>
      </c>
      <c r="C6" s="58">
        <f t="shared" si="0"/>
        <v>1</v>
      </c>
      <c r="D6" s="57">
        <v>315</v>
      </c>
      <c r="E6" s="59"/>
      <c r="F6" s="256"/>
      <c r="G6" s="60"/>
      <c r="H6" s="57"/>
      <c r="I6" s="61"/>
      <c r="J6" s="62"/>
      <c r="K6" s="60"/>
      <c r="L6" s="63"/>
      <c r="M6" s="64"/>
      <c r="N6" s="221"/>
      <c r="O6" s="305"/>
      <c r="P6" s="3"/>
    </row>
    <row r="7" spans="1:16" ht="19.5" customHeight="1" thickBot="1" x14ac:dyDescent="0.3">
      <c r="A7" s="5"/>
      <c r="B7" s="57">
        <f t="shared" si="1"/>
        <v>2026</v>
      </c>
      <c r="C7" s="58">
        <f t="shared" si="0"/>
        <v>1</v>
      </c>
      <c r="D7" s="57">
        <v>322</v>
      </c>
      <c r="E7" s="59"/>
      <c r="F7" s="256"/>
      <c r="G7" s="60"/>
      <c r="H7" s="57"/>
      <c r="I7" s="61"/>
      <c r="J7" s="62"/>
      <c r="K7" s="60"/>
      <c r="L7" s="63"/>
      <c r="M7" s="64"/>
      <c r="N7" s="221"/>
      <c r="O7" s="305"/>
      <c r="P7" s="3"/>
    </row>
    <row r="8" spans="1:16" ht="19.5" customHeight="1" thickBot="1" x14ac:dyDescent="0.3">
      <c r="A8" s="5"/>
      <c r="B8" s="57">
        <f t="shared" si="1"/>
        <v>2026</v>
      </c>
      <c r="C8" s="58">
        <f t="shared" si="0"/>
        <v>1</v>
      </c>
      <c r="D8" s="57">
        <v>323</v>
      </c>
      <c r="E8" s="59"/>
      <c r="F8" s="256"/>
      <c r="G8" s="60"/>
      <c r="H8" s="57"/>
      <c r="I8" s="61"/>
      <c r="J8" s="62"/>
      <c r="K8" s="60"/>
      <c r="L8" s="63"/>
      <c r="M8" s="64"/>
      <c r="N8" s="221"/>
      <c r="O8" s="305"/>
      <c r="P8" s="3"/>
    </row>
    <row r="9" spans="1:16" ht="19.5" customHeight="1" thickBot="1" x14ac:dyDescent="0.3">
      <c r="A9" s="5"/>
      <c r="B9" s="57">
        <f t="shared" si="1"/>
        <v>2026</v>
      </c>
      <c r="C9" s="58">
        <f t="shared" si="0"/>
        <v>1</v>
      </c>
      <c r="D9" s="57">
        <v>327</v>
      </c>
      <c r="E9" s="59"/>
      <c r="F9" s="256"/>
      <c r="G9" s="60"/>
      <c r="H9" s="57"/>
      <c r="I9" s="61"/>
      <c r="J9" s="62"/>
      <c r="K9" s="60"/>
      <c r="L9" s="63"/>
      <c r="M9" s="64"/>
      <c r="N9" s="221"/>
      <c r="O9" s="305"/>
      <c r="P9" s="3"/>
    </row>
    <row r="10" spans="1:16" ht="19.5" customHeight="1" thickBot="1" x14ac:dyDescent="0.3">
      <c r="A10" s="5"/>
      <c r="B10" s="57">
        <f t="shared" si="1"/>
        <v>2026</v>
      </c>
      <c r="C10" s="58">
        <f t="shared" si="0"/>
        <v>1</v>
      </c>
      <c r="D10" s="57">
        <v>328</v>
      </c>
      <c r="E10" s="59"/>
      <c r="F10" s="256"/>
      <c r="G10" s="60"/>
      <c r="H10" s="57"/>
      <c r="I10" s="61"/>
      <c r="J10" s="62"/>
      <c r="K10" s="60"/>
      <c r="L10" s="63"/>
      <c r="M10" s="64"/>
      <c r="N10" s="221"/>
      <c r="O10" s="305"/>
      <c r="P10" s="3"/>
    </row>
    <row r="11" spans="1:16" ht="19.5" customHeight="1" thickBot="1" x14ac:dyDescent="0.3">
      <c r="A11" s="5"/>
      <c r="B11" s="57">
        <f t="shared" si="1"/>
        <v>2026</v>
      </c>
      <c r="C11" s="58">
        <f t="shared" si="0"/>
        <v>1</v>
      </c>
      <c r="D11" s="57">
        <v>329</v>
      </c>
      <c r="E11" s="59"/>
      <c r="F11" s="256"/>
      <c r="G11" s="60"/>
      <c r="H11" s="57"/>
      <c r="I11" s="61"/>
      <c r="J11" s="62"/>
      <c r="K11" s="60"/>
      <c r="L11" s="63"/>
      <c r="M11" s="64"/>
      <c r="N11" s="221"/>
      <c r="O11" s="305"/>
      <c r="P11" s="3"/>
    </row>
    <row r="12" spans="1:16" ht="19.5" customHeight="1" thickBot="1" x14ac:dyDescent="0.3">
      <c r="A12" s="5"/>
      <c r="B12" s="57">
        <f t="shared" si="1"/>
        <v>2026</v>
      </c>
      <c r="C12" s="58">
        <f t="shared" si="0"/>
        <v>1</v>
      </c>
      <c r="D12" s="57">
        <v>330</v>
      </c>
      <c r="E12" s="59"/>
      <c r="F12" s="256"/>
      <c r="G12" s="60"/>
      <c r="H12" s="57"/>
      <c r="I12" s="61"/>
      <c r="J12" s="62"/>
      <c r="K12" s="60"/>
      <c r="L12" s="63"/>
      <c r="M12" s="64"/>
      <c r="N12" s="221"/>
      <c r="O12" s="305"/>
      <c r="P12" s="3"/>
    </row>
    <row r="13" spans="1:16" ht="19.5" customHeight="1" thickBot="1" x14ac:dyDescent="0.3">
      <c r="A13" s="5"/>
      <c r="B13" s="57">
        <f t="shared" si="1"/>
        <v>2026</v>
      </c>
      <c r="C13" s="58">
        <f t="shared" si="0"/>
        <v>1</v>
      </c>
      <c r="D13" s="57">
        <v>335</v>
      </c>
      <c r="E13" s="59"/>
      <c r="F13" s="256"/>
      <c r="G13" s="60"/>
      <c r="H13" s="57"/>
      <c r="I13" s="61"/>
      <c r="J13" s="62"/>
      <c r="K13" s="60"/>
      <c r="L13" s="63"/>
      <c r="M13" s="64"/>
      <c r="N13" s="221"/>
      <c r="O13" s="305"/>
      <c r="P13" s="3"/>
    </row>
    <row r="14" spans="1:16" ht="19.5" customHeight="1" thickBot="1" x14ac:dyDescent="0.3">
      <c r="A14" s="5"/>
      <c r="B14" s="57">
        <f t="shared" si="1"/>
        <v>2026</v>
      </c>
      <c r="C14" s="58">
        <f t="shared" si="0"/>
        <v>1</v>
      </c>
      <c r="D14" s="57">
        <v>336</v>
      </c>
      <c r="E14" s="59"/>
      <c r="F14" s="256"/>
      <c r="G14" s="60"/>
      <c r="H14" s="57"/>
      <c r="I14" s="61"/>
      <c r="J14" s="62"/>
      <c r="K14" s="60"/>
      <c r="L14" s="63"/>
      <c r="M14" s="64"/>
      <c r="N14" s="221"/>
      <c r="O14" s="305"/>
      <c r="P14" s="3"/>
    </row>
    <row r="15" spans="1:16" ht="19.5" customHeight="1" thickBot="1" x14ac:dyDescent="0.3">
      <c r="A15" s="5"/>
      <c r="B15" s="65">
        <f>B14</f>
        <v>2026</v>
      </c>
      <c r="C15" s="58">
        <f t="shared" si="0"/>
        <v>1</v>
      </c>
      <c r="D15" s="65">
        <v>338</v>
      </c>
      <c r="E15" s="66"/>
      <c r="F15" s="257"/>
      <c r="G15" s="67"/>
      <c r="H15" s="65"/>
      <c r="I15" s="61"/>
      <c r="J15" s="68"/>
      <c r="K15" s="67"/>
      <c r="L15" s="69"/>
      <c r="M15" s="70"/>
      <c r="N15" s="222"/>
      <c r="O15" s="305"/>
      <c r="P15" s="3"/>
    </row>
    <row r="16" spans="1:16" ht="19.5" customHeight="1" thickBot="1" x14ac:dyDescent="0.3">
      <c r="A16" s="5"/>
      <c r="B16" s="71">
        <f>B15</f>
        <v>2026</v>
      </c>
      <c r="C16" s="72">
        <f>C3</f>
        <v>1</v>
      </c>
      <c r="D16" s="71">
        <v>340</v>
      </c>
      <c r="E16" s="73"/>
      <c r="F16" s="258"/>
      <c r="G16" s="74"/>
      <c r="H16" s="71"/>
      <c r="I16" s="71"/>
      <c r="J16" s="75"/>
      <c r="K16" s="75"/>
      <c r="L16" s="76"/>
      <c r="M16" s="77"/>
      <c r="N16" s="78"/>
      <c r="O16" s="306" t="s">
        <v>15</v>
      </c>
      <c r="P16" s="3"/>
    </row>
    <row r="17" spans="1:16" ht="19.5" customHeight="1" thickBot="1" x14ac:dyDescent="0.3">
      <c r="A17" s="5"/>
      <c r="B17" s="79">
        <f>B16</f>
        <v>2026</v>
      </c>
      <c r="C17" s="79">
        <f>C3</f>
        <v>1</v>
      </c>
      <c r="D17" s="80">
        <v>342</v>
      </c>
      <c r="E17" s="81"/>
      <c r="F17" s="259"/>
      <c r="G17" s="82"/>
      <c r="H17" s="80"/>
      <c r="I17" s="80"/>
      <c r="J17" s="83"/>
      <c r="K17" s="83"/>
      <c r="L17" s="84"/>
      <c r="M17" s="85"/>
      <c r="N17" s="86"/>
      <c r="O17" s="306"/>
      <c r="P17" s="3"/>
    </row>
    <row r="18" spans="1:16" ht="19.5" customHeight="1" thickBot="1" x14ac:dyDescent="0.3">
      <c r="A18" s="5"/>
      <c r="B18" s="79">
        <f t="shared" ref="B18:B63" si="2">B17</f>
        <v>2026</v>
      </c>
      <c r="C18" s="79">
        <f>C3</f>
        <v>1</v>
      </c>
      <c r="D18" s="80">
        <v>343</v>
      </c>
      <c r="E18" s="81"/>
      <c r="F18" s="259"/>
      <c r="G18" s="82"/>
      <c r="H18" s="80"/>
      <c r="I18" s="80"/>
      <c r="J18" s="83"/>
      <c r="K18" s="83"/>
      <c r="L18" s="84"/>
      <c r="M18" s="85"/>
      <c r="N18" s="86"/>
      <c r="O18" s="306"/>
      <c r="P18" s="3"/>
    </row>
    <row r="19" spans="1:16" ht="19.5" customHeight="1" thickBot="1" x14ac:dyDescent="0.3">
      <c r="A19" s="5"/>
      <c r="B19" s="79">
        <f t="shared" si="2"/>
        <v>2026</v>
      </c>
      <c r="C19" s="79">
        <f>C4</f>
        <v>1</v>
      </c>
      <c r="D19" s="80">
        <v>344</v>
      </c>
      <c r="E19" s="81"/>
      <c r="F19" s="259"/>
      <c r="G19" s="82"/>
      <c r="H19" s="80"/>
      <c r="I19" s="80"/>
      <c r="J19" s="83"/>
      <c r="K19" s="83"/>
      <c r="L19" s="84"/>
      <c r="M19" s="85"/>
      <c r="N19" s="86"/>
      <c r="O19" s="306"/>
      <c r="P19" s="3"/>
    </row>
    <row r="20" spans="1:16" ht="19.5" customHeight="1" thickBot="1" x14ac:dyDescent="0.3">
      <c r="A20" s="5"/>
      <c r="B20" s="79">
        <f t="shared" si="2"/>
        <v>2026</v>
      </c>
      <c r="C20" s="79">
        <f>C5</f>
        <v>1</v>
      </c>
      <c r="D20" s="80">
        <v>345</v>
      </c>
      <c r="E20" s="81"/>
      <c r="F20" s="259"/>
      <c r="G20" s="82"/>
      <c r="H20" s="80"/>
      <c r="I20" s="80"/>
      <c r="J20" s="83"/>
      <c r="K20" s="83"/>
      <c r="L20" s="84"/>
      <c r="M20" s="85"/>
      <c r="N20" s="86"/>
      <c r="O20" s="306"/>
      <c r="P20" s="3"/>
    </row>
    <row r="21" spans="1:16" ht="19.5" customHeight="1" thickBot="1" x14ac:dyDescent="0.3">
      <c r="A21" s="5"/>
      <c r="B21" s="87">
        <f t="shared" si="2"/>
        <v>2026</v>
      </c>
      <c r="C21" s="88">
        <f>C6</f>
        <v>1</v>
      </c>
      <c r="D21" s="89">
        <v>346</v>
      </c>
      <c r="E21" s="90"/>
      <c r="F21" s="260"/>
      <c r="G21" s="91"/>
      <c r="H21" s="89"/>
      <c r="I21" s="89"/>
      <c r="J21" s="92"/>
      <c r="K21" s="92"/>
      <c r="L21" s="93"/>
      <c r="M21" s="94"/>
      <c r="N21" s="95"/>
      <c r="O21" s="306"/>
      <c r="P21" s="3"/>
    </row>
    <row r="22" spans="1:16" ht="19.5" customHeight="1" thickBot="1" x14ac:dyDescent="0.3">
      <c r="A22" s="5"/>
      <c r="B22" s="96">
        <f t="shared" si="2"/>
        <v>2026</v>
      </c>
      <c r="C22" s="97">
        <f>C3</f>
        <v>1</v>
      </c>
      <c r="D22" s="96">
        <v>401</v>
      </c>
      <c r="E22" s="98"/>
      <c r="F22" s="261"/>
      <c r="G22" s="99"/>
      <c r="H22" s="96"/>
      <c r="I22" s="96"/>
      <c r="J22" s="100"/>
      <c r="K22" s="100"/>
      <c r="L22" s="101"/>
      <c r="M22" s="102"/>
      <c r="N22" s="103"/>
      <c r="O22" s="310" t="s">
        <v>16</v>
      </c>
      <c r="P22" s="3"/>
    </row>
    <row r="23" spans="1:16" ht="19.5" customHeight="1" thickBot="1" x14ac:dyDescent="0.3">
      <c r="A23" s="5"/>
      <c r="B23" s="96">
        <f t="shared" si="2"/>
        <v>2026</v>
      </c>
      <c r="C23" s="104">
        <f>C3</f>
        <v>1</v>
      </c>
      <c r="D23" s="105">
        <v>404</v>
      </c>
      <c r="E23" s="106"/>
      <c r="F23" s="261"/>
      <c r="G23" s="99"/>
      <c r="H23" s="96"/>
      <c r="I23" s="105"/>
      <c r="J23" s="107"/>
      <c r="K23" s="107"/>
      <c r="L23" s="108"/>
      <c r="M23" s="109"/>
      <c r="N23" s="110"/>
      <c r="O23" s="310"/>
      <c r="P23" s="3"/>
    </row>
    <row r="24" spans="1:16" ht="19.5" customHeight="1" thickBot="1" x14ac:dyDescent="0.3">
      <c r="A24" s="5"/>
      <c r="B24" s="111">
        <f t="shared" si="2"/>
        <v>2026</v>
      </c>
      <c r="C24" s="111">
        <f>C3</f>
        <v>1</v>
      </c>
      <c r="D24" s="112">
        <v>405</v>
      </c>
      <c r="E24" s="113"/>
      <c r="F24" s="262"/>
      <c r="G24" s="114"/>
      <c r="H24" s="115"/>
      <c r="I24" s="112"/>
      <c r="J24" s="114"/>
      <c r="K24" s="114"/>
      <c r="L24" s="116"/>
      <c r="M24" s="117"/>
      <c r="N24" s="118"/>
      <c r="O24" s="310"/>
      <c r="P24" s="3"/>
    </row>
    <row r="25" spans="1:16" ht="19.5" customHeight="1" thickBot="1" x14ac:dyDescent="0.3">
      <c r="A25" s="5"/>
      <c r="B25" s="119">
        <f t="shared" si="2"/>
        <v>2026</v>
      </c>
      <c r="C25" s="119">
        <f>C3</f>
        <v>1</v>
      </c>
      <c r="D25" s="120">
        <v>411</v>
      </c>
      <c r="E25" s="121"/>
      <c r="F25" s="263"/>
      <c r="G25" s="122"/>
      <c r="H25" s="123"/>
      <c r="I25" s="120"/>
      <c r="J25" s="122"/>
      <c r="K25" s="122"/>
      <c r="L25" s="124"/>
      <c r="M25" s="125"/>
      <c r="N25" s="126"/>
      <c r="O25" s="309" t="s">
        <v>18</v>
      </c>
      <c r="P25" s="3"/>
    </row>
    <row r="26" spans="1:16" ht="19.5" customHeight="1" thickBot="1" x14ac:dyDescent="0.3">
      <c r="A26" s="5"/>
      <c r="B26" s="127">
        <f t="shared" si="2"/>
        <v>2026</v>
      </c>
      <c r="C26" s="127">
        <f>C3</f>
        <v>1</v>
      </c>
      <c r="D26" s="128">
        <v>418</v>
      </c>
      <c r="E26" s="129"/>
      <c r="F26" s="264"/>
      <c r="G26" s="130"/>
      <c r="H26" s="131"/>
      <c r="I26" s="128"/>
      <c r="J26" s="130"/>
      <c r="K26" s="130"/>
      <c r="L26" s="132"/>
      <c r="M26" s="133"/>
      <c r="N26" s="134"/>
      <c r="O26" s="309"/>
      <c r="P26" s="3"/>
    </row>
    <row r="27" spans="1:16" ht="19.5" customHeight="1" thickBot="1" x14ac:dyDescent="0.3">
      <c r="A27" s="5"/>
      <c r="B27" s="127">
        <f t="shared" si="2"/>
        <v>2026</v>
      </c>
      <c r="C27" s="127">
        <f>C3</f>
        <v>1</v>
      </c>
      <c r="D27" s="128">
        <v>501</v>
      </c>
      <c r="E27" s="135"/>
      <c r="F27" s="265"/>
      <c r="G27" s="136"/>
      <c r="H27" s="131"/>
      <c r="I27" s="128"/>
      <c r="J27" s="130"/>
      <c r="K27" s="130"/>
      <c r="L27" s="132"/>
      <c r="M27" s="133"/>
      <c r="N27" s="134"/>
      <c r="O27" s="309"/>
      <c r="P27" s="3"/>
    </row>
    <row r="28" spans="1:16" ht="19.5" customHeight="1" thickBot="1" x14ac:dyDescent="0.3">
      <c r="A28" s="5"/>
      <c r="B28" s="127">
        <f t="shared" si="2"/>
        <v>2026</v>
      </c>
      <c r="C28" s="127">
        <f>C3</f>
        <v>1</v>
      </c>
      <c r="D28" s="128">
        <v>504</v>
      </c>
      <c r="E28" s="129"/>
      <c r="F28" s="264"/>
      <c r="G28" s="130"/>
      <c r="H28" s="131"/>
      <c r="I28" s="128"/>
      <c r="J28" s="130"/>
      <c r="K28" s="130"/>
      <c r="L28" s="132"/>
      <c r="M28" s="133"/>
      <c r="N28" s="134"/>
      <c r="O28" s="309"/>
      <c r="P28" s="3"/>
    </row>
    <row r="29" spans="1:16" ht="19.5" customHeight="1" thickBot="1" x14ac:dyDescent="0.3">
      <c r="A29" s="5"/>
      <c r="B29" s="127">
        <f t="shared" si="2"/>
        <v>2026</v>
      </c>
      <c r="C29" s="127">
        <f>C3</f>
        <v>1</v>
      </c>
      <c r="D29" s="128">
        <v>519</v>
      </c>
      <c r="E29" s="129"/>
      <c r="F29" s="264"/>
      <c r="G29" s="130"/>
      <c r="H29" s="131"/>
      <c r="I29" s="128"/>
      <c r="J29" s="130"/>
      <c r="K29" s="130"/>
      <c r="L29" s="132"/>
      <c r="M29" s="133"/>
      <c r="N29" s="134"/>
      <c r="O29" s="309"/>
      <c r="P29" s="3"/>
    </row>
    <row r="30" spans="1:16" ht="19.5" customHeight="1" thickBot="1" x14ac:dyDescent="0.3">
      <c r="A30" s="5"/>
      <c r="B30" s="127">
        <f t="shared" si="2"/>
        <v>2026</v>
      </c>
      <c r="C30" s="127">
        <f>C3</f>
        <v>1</v>
      </c>
      <c r="D30" s="128">
        <v>602</v>
      </c>
      <c r="E30" s="135"/>
      <c r="F30" s="265"/>
      <c r="G30" s="136"/>
      <c r="H30" s="131"/>
      <c r="I30" s="128"/>
      <c r="J30" s="130"/>
      <c r="K30" s="130"/>
      <c r="L30" s="132"/>
      <c r="M30" s="133"/>
      <c r="N30" s="134"/>
      <c r="O30" s="309"/>
      <c r="P30" s="3"/>
    </row>
    <row r="31" spans="1:16" ht="19.5" customHeight="1" thickBot="1" x14ac:dyDescent="0.3">
      <c r="A31" s="5"/>
      <c r="B31" s="127">
        <f t="shared" si="2"/>
        <v>2026</v>
      </c>
      <c r="C31" s="127">
        <f>C3</f>
        <v>1</v>
      </c>
      <c r="D31" s="128">
        <v>606</v>
      </c>
      <c r="E31" s="129"/>
      <c r="F31" s="264"/>
      <c r="G31" s="130"/>
      <c r="H31" s="131"/>
      <c r="I31" s="128"/>
      <c r="J31" s="130"/>
      <c r="K31" s="130"/>
      <c r="L31" s="132"/>
      <c r="M31" s="133"/>
      <c r="N31" s="134"/>
      <c r="O31" s="309"/>
      <c r="P31" s="3"/>
    </row>
    <row r="32" spans="1:16" ht="19.5" customHeight="1" thickBot="1" x14ac:dyDescent="0.3">
      <c r="A32" s="5"/>
      <c r="B32" s="127">
        <f t="shared" si="2"/>
        <v>2026</v>
      </c>
      <c r="C32" s="127">
        <f>C3</f>
        <v>1</v>
      </c>
      <c r="D32" s="128">
        <v>609</v>
      </c>
      <c r="E32" s="129"/>
      <c r="F32" s="264"/>
      <c r="G32" s="130"/>
      <c r="H32" s="131"/>
      <c r="I32" s="128"/>
      <c r="J32" s="130"/>
      <c r="K32" s="130"/>
      <c r="L32" s="132"/>
      <c r="M32" s="133"/>
      <c r="N32" s="134"/>
      <c r="O32" s="309"/>
      <c r="P32" s="3"/>
    </row>
    <row r="33" spans="1:16" ht="19.5" customHeight="1" thickBot="1" x14ac:dyDescent="0.3">
      <c r="A33" s="5"/>
      <c r="B33" s="137">
        <f t="shared" si="2"/>
        <v>2026</v>
      </c>
      <c r="C33" s="138">
        <f>C3</f>
        <v>1</v>
      </c>
      <c r="D33" s="139">
        <v>610</v>
      </c>
      <c r="E33" s="140"/>
      <c r="F33" s="266"/>
      <c r="G33" s="141"/>
      <c r="H33" s="142"/>
      <c r="I33" s="139"/>
      <c r="J33" s="143"/>
      <c r="K33" s="143"/>
      <c r="L33" s="144"/>
      <c r="M33" s="145"/>
      <c r="N33" s="146"/>
      <c r="O33" s="309"/>
      <c r="P33" s="3"/>
    </row>
    <row r="34" spans="1:16" ht="19.5" customHeight="1" thickBot="1" x14ac:dyDescent="0.3">
      <c r="A34" s="5"/>
      <c r="B34" s="240">
        <f t="shared" si="2"/>
        <v>2026</v>
      </c>
      <c r="C34" s="147">
        <f>C3</f>
        <v>1</v>
      </c>
      <c r="D34" s="148">
        <v>508</v>
      </c>
      <c r="E34" s="149"/>
      <c r="F34" s="267"/>
      <c r="G34" s="150"/>
      <c r="H34" s="151"/>
      <c r="I34" s="152"/>
      <c r="J34" s="152"/>
      <c r="K34" s="152"/>
      <c r="L34" s="153"/>
      <c r="M34" s="154"/>
      <c r="N34" s="155"/>
      <c r="O34" s="307" t="s">
        <v>6</v>
      </c>
      <c r="P34" s="3"/>
    </row>
    <row r="35" spans="1:16" ht="19.5" customHeight="1" thickBot="1" x14ac:dyDescent="0.3">
      <c r="A35" s="5"/>
      <c r="B35" s="241">
        <f t="shared" si="2"/>
        <v>2026</v>
      </c>
      <c r="C35" s="147">
        <f>C3</f>
        <v>1</v>
      </c>
      <c r="D35" s="156">
        <v>513</v>
      </c>
      <c r="E35" s="157"/>
      <c r="F35" s="268"/>
      <c r="G35" s="158"/>
      <c r="H35" s="159"/>
      <c r="I35" s="160"/>
      <c r="J35" s="160"/>
      <c r="K35" s="160"/>
      <c r="L35" s="161"/>
      <c r="M35" s="162"/>
      <c r="N35" s="163"/>
      <c r="O35" s="307"/>
      <c r="P35" s="3"/>
    </row>
    <row r="36" spans="1:16" ht="19.5" customHeight="1" thickBot="1" x14ac:dyDescent="0.3">
      <c r="A36" s="5"/>
      <c r="B36" s="241">
        <f t="shared" si="2"/>
        <v>2026</v>
      </c>
      <c r="C36" s="147">
        <f>C3</f>
        <v>1</v>
      </c>
      <c r="D36" s="156">
        <v>520</v>
      </c>
      <c r="E36" s="157"/>
      <c r="F36" s="268"/>
      <c r="G36" s="158"/>
      <c r="H36" s="159"/>
      <c r="I36" s="160"/>
      <c r="J36" s="160"/>
      <c r="K36" s="160"/>
      <c r="L36" s="161"/>
      <c r="M36" s="162"/>
      <c r="N36" s="163"/>
      <c r="O36" s="307"/>
      <c r="P36" s="3"/>
    </row>
    <row r="37" spans="1:16" ht="19.5" customHeight="1" thickBot="1" x14ac:dyDescent="0.3">
      <c r="A37" s="5"/>
      <c r="B37" s="241">
        <f t="shared" si="2"/>
        <v>2026</v>
      </c>
      <c r="C37" s="147">
        <f>C3</f>
        <v>1</v>
      </c>
      <c r="D37" s="156">
        <v>801</v>
      </c>
      <c r="E37" s="157">
        <v>46097</v>
      </c>
      <c r="F37" s="268">
        <v>4.8</v>
      </c>
      <c r="G37" s="158">
        <v>62</v>
      </c>
      <c r="H37" s="159">
        <v>3</v>
      </c>
      <c r="I37" s="160" t="s">
        <v>22</v>
      </c>
      <c r="J37" s="160">
        <v>9</v>
      </c>
      <c r="K37" s="160" t="s">
        <v>23</v>
      </c>
      <c r="L37" s="161">
        <v>7</v>
      </c>
      <c r="M37" s="162">
        <v>20</v>
      </c>
      <c r="N37" s="163">
        <v>9.8000000000000007</v>
      </c>
      <c r="O37" s="307"/>
      <c r="P37" s="3"/>
    </row>
    <row r="38" spans="1:16" ht="19.5" customHeight="1" thickBot="1" x14ac:dyDescent="0.3">
      <c r="A38" s="5"/>
      <c r="B38" s="242">
        <f t="shared" si="2"/>
        <v>2026</v>
      </c>
      <c r="C38" s="164">
        <f>C3</f>
        <v>1</v>
      </c>
      <c r="D38" s="165">
        <v>804</v>
      </c>
      <c r="E38" s="166">
        <v>46098</v>
      </c>
      <c r="F38" s="269">
        <v>11.2</v>
      </c>
      <c r="G38" s="167">
        <v>68</v>
      </c>
      <c r="H38" s="168">
        <v>3</v>
      </c>
      <c r="I38" s="169" t="s">
        <v>22</v>
      </c>
      <c r="J38" s="169">
        <v>28</v>
      </c>
      <c r="K38" s="169" t="s">
        <v>23</v>
      </c>
      <c r="L38" s="170">
        <v>6</v>
      </c>
      <c r="M38" s="171">
        <v>13</v>
      </c>
      <c r="N38" s="172"/>
      <c r="O38" s="307"/>
      <c r="P38" s="3"/>
    </row>
    <row r="39" spans="1:16" ht="19.5" customHeight="1" x14ac:dyDescent="0.25">
      <c r="A39" s="5"/>
      <c r="B39" s="239">
        <f t="shared" si="2"/>
        <v>2026</v>
      </c>
      <c r="C39" s="173">
        <f>C3</f>
        <v>1</v>
      </c>
      <c r="D39" s="174">
        <v>703</v>
      </c>
      <c r="E39" s="175">
        <v>46097</v>
      </c>
      <c r="F39" s="270">
        <v>7.3</v>
      </c>
      <c r="G39" s="176">
        <v>69</v>
      </c>
      <c r="H39" s="177">
        <v>3</v>
      </c>
      <c r="I39" s="178" t="s">
        <v>22</v>
      </c>
      <c r="J39" s="179">
        <v>4</v>
      </c>
      <c r="K39" s="179" t="s">
        <v>23</v>
      </c>
      <c r="L39" s="180">
        <v>8</v>
      </c>
      <c r="M39" s="181">
        <v>15</v>
      </c>
      <c r="N39" s="182">
        <v>10.25</v>
      </c>
      <c r="O39" s="311" t="s">
        <v>7</v>
      </c>
      <c r="P39" s="3"/>
    </row>
    <row r="40" spans="1:16" ht="19.5" customHeight="1" x14ac:dyDescent="0.25">
      <c r="A40" s="5"/>
      <c r="B40" s="237">
        <f t="shared" si="2"/>
        <v>2026</v>
      </c>
      <c r="C40" s="183">
        <f>C3</f>
        <v>1</v>
      </c>
      <c r="D40" s="184">
        <v>704</v>
      </c>
      <c r="E40" s="185"/>
      <c r="F40" s="271"/>
      <c r="G40" s="186"/>
      <c r="H40" s="178"/>
      <c r="I40" s="178"/>
      <c r="J40" s="187"/>
      <c r="K40" s="187"/>
      <c r="L40" s="188"/>
      <c r="M40" s="189"/>
      <c r="N40" s="190"/>
      <c r="O40" s="312"/>
      <c r="P40" s="3"/>
    </row>
    <row r="41" spans="1:16" ht="19.5" customHeight="1" x14ac:dyDescent="0.25">
      <c r="A41" s="5"/>
      <c r="B41" s="237">
        <f t="shared" si="2"/>
        <v>2026</v>
      </c>
      <c r="C41" s="183">
        <f>C3</f>
        <v>1</v>
      </c>
      <c r="D41" s="184">
        <v>705</v>
      </c>
      <c r="E41" s="185">
        <v>46097</v>
      </c>
      <c r="F41" s="271">
        <v>3.8</v>
      </c>
      <c r="G41" s="186">
        <v>123</v>
      </c>
      <c r="H41" s="178">
        <v>3</v>
      </c>
      <c r="I41" s="178" t="s">
        <v>24</v>
      </c>
      <c r="J41" s="187"/>
      <c r="K41" s="187" t="s">
        <v>23</v>
      </c>
      <c r="L41" s="188"/>
      <c r="M41" s="189"/>
      <c r="N41" s="190"/>
      <c r="O41" s="312"/>
      <c r="P41" s="3"/>
    </row>
    <row r="42" spans="1:16" ht="19.5" customHeight="1" x14ac:dyDescent="0.25">
      <c r="A42" s="5"/>
      <c r="B42" s="237">
        <f t="shared" si="2"/>
        <v>2026</v>
      </c>
      <c r="C42" s="183">
        <f>C3</f>
        <v>1</v>
      </c>
      <c r="D42" s="184">
        <v>706</v>
      </c>
      <c r="E42" s="185">
        <v>46097</v>
      </c>
      <c r="F42" s="271"/>
      <c r="G42" s="186">
        <v>88</v>
      </c>
      <c r="H42" s="178">
        <v>3</v>
      </c>
      <c r="I42" s="178" t="s">
        <v>22</v>
      </c>
      <c r="J42" s="187">
        <v>14</v>
      </c>
      <c r="K42" s="187" t="s">
        <v>23</v>
      </c>
      <c r="L42" s="188">
        <v>6</v>
      </c>
      <c r="M42" s="189">
        <v>11</v>
      </c>
      <c r="N42" s="190"/>
      <c r="O42" s="312"/>
      <c r="P42" s="3"/>
    </row>
    <row r="43" spans="1:16" ht="19.5" customHeight="1" x14ac:dyDescent="0.25">
      <c r="A43" s="5"/>
      <c r="B43" s="237">
        <f t="shared" si="2"/>
        <v>2026</v>
      </c>
      <c r="C43" s="183">
        <f>C3</f>
        <v>1</v>
      </c>
      <c r="D43" s="184">
        <v>707</v>
      </c>
      <c r="E43" s="185">
        <v>46097</v>
      </c>
      <c r="F43" s="271">
        <v>5.2</v>
      </c>
      <c r="G43" s="186">
        <v>83</v>
      </c>
      <c r="H43" s="178">
        <v>3</v>
      </c>
      <c r="I43" s="178" t="s">
        <v>22</v>
      </c>
      <c r="J43" s="187">
        <v>12</v>
      </c>
      <c r="K43" s="187" t="s">
        <v>23</v>
      </c>
      <c r="L43" s="188">
        <v>6</v>
      </c>
      <c r="M43" s="189">
        <v>6</v>
      </c>
      <c r="N43" s="190">
        <v>6</v>
      </c>
      <c r="O43" s="312"/>
      <c r="P43" s="3"/>
    </row>
    <row r="44" spans="1:16" ht="19.5" customHeight="1" x14ac:dyDescent="0.25">
      <c r="A44" s="5"/>
      <c r="B44" s="237">
        <f t="shared" si="2"/>
        <v>2026</v>
      </c>
      <c r="C44" s="183">
        <f>C3</f>
        <v>1</v>
      </c>
      <c r="D44" s="184">
        <v>711</v>
      </c>
      <c r="E44" s="185">
        <v>46097</v>
      </c>
      <c r="F44" s="271">
        <v>4.8</v>
      </c>
      <c r="G44" s="186">
        <v>95</v>
      </c>
      <c r="H44" s="178">
        <v>3</v>
      </c>
      <c r="I44" s="178" t="s">
        <v>24</v>
      </c>
      <c r="J44" s="187"/>
      <c r="K44" s="187" t="s">
        <v>23</v>
      </c>
      <c r="L44" s="188"/>
      <c r="M44" s="189"/>
      <c r="N44" s="190"/>
      <c r="O44" s="312"/>
      <c r="P44" s="3"/>
    </row>
    <row r="45" spans="1:16" ht="19.5" customHeight="1" x14ac:dyDescent="0.25">
      <c r="A45" s="5"/>
      <c r="B45" s="191">
        <f t="shared" si="2"/>
        <v>2026</v>
      </c>
      <c r="C45" s="191">
        <f>C3</f>
        <v>1</v>
      </c>
      <c r="D45" s="192">
        <v>716</v>
      </c>
      <c r="E45" s="193"/>
      <c r="F45" s="272"/>
      <c r="G45" s="194"/>
      <c r="H45" s="195"/>
      <c r="I45" s="196"/>
      <c r="J45" s="194"/>
      <c r="K45" s="194"/>
      <c r="L45" s="197"/>
      <c r="M45" s="198"/>
      <c r="N45" s="199"/>
      <c r="O45" s="312"/>
      <c r="P45" s="3"/>
    </row>
    <row r="46" spans="1:16" ht="19.5" customHeight="1" x14ac:dyDescent="0.25">
      <c r="A46" s="5"/>
      <c r="B46" s="237">
        <f t="shared" si="2"/>
        <v>2026</v>
      </c>
      <c r="C46" s="183">
        <f>C3</f>
        <v>1</v>
      </c>
      <c r="D46" s="184">
        <v>718</v>
      </c>
      <c r="E46" s="185"/>
      <c r="F46" s="271"/>
      <c r="G46" s="186"/>
      <c r="H46" s="178"/>
      <c r="I46" s="178"/>
      <c r="J46" s="186"/>
      <c r="K46" s="187"/>
      <c r="L46" s="200"/>
      <c r="M46" s="201"/>
      <c r="N46" s="202"/>
      <c r="O46" s="312"/>
      <c r="P46" s="3"/>
    </row>
    <row r="47" spans="1:16" ht="19.5" customHeight="1" x14ac:dyDescent="0.25">
      <c r="A47" s="5"/>
      <c r="B47" s="237">
        <f t="shared" si="2"/>
        <v>2026</v>
      </c>
      <c r="C47" s="183">
        <f>C3</f>
        <v>1</v>
      </c>
      <c r="D47" s="184">
        <v>719</v>
      </c>
      <c r="E47" s="185">
        <v>46098</v>
      </c>
      <c r="F47" s="271">
        <v>14.6</v>
      </c>
      <c r="G47" s="186">
        <v>37</v>
      </c>
      <c r="H47" s="178">
        <v>3</v>
      </c>
      <c r="I47" s="178" t="s">
        <v>24</v>
      </c>
      <c r="J47" s="187"/>
      <c r="K47" s="187" t="s">
        <v>23</v>
      </c>
      <c r="L47" s="188"/>
      <c r="M47" s="189"/>
      <c r="N47" s="190"/>
      <c r="O47" s="312"/>
      <c r="P47" s="3"/>
    </row>
    <row r="48" spans="1:16" ht="19.5" customHeight="1" x14ac:dyDescent="0.25">
      <c r="A48" s="5"/>
      <c r="B48" s="237">
        <f t="shared" si="2"/>
        <v>2026</v>
      </c>
      <c r="C48" s="183">
        <f>C3</f>
        <v>1</v>
      </c>
      <c r="D48" s="184">
        <v>720</v>
      </c>
      <c r="E48" s="185"/>
      <c r="F48" s="271"/>
      <c r="G48" s="186"/>
      <c r="H48" s="178"/>
      <c r="I48" s="178"/>
      <c r="J48" s="187"/>
      <c r="K48" s="187"/>
      <c r="L48" s="188"/>
      <c r="M48" s="189"/>
      <c r="N48" s="190"/>
      <c r="O48" s="312"/>
      <c r="P48" s="3"/>
    </row>
    <row r="49" spans="1:16" ht="19.5" customHeight="1" x14ac:dyDescent="0.25">
      <c r="A49" s="5"/>
      <c r="B49" s="237">
        <f t="shared" si="2"/>
        <v>2026</v>
      </c>
      <c r="C49" s="183">
        <f>C3</f>
        <v>1</v>
      </c>
      <c r="D49" s="184">
        <v>723</v>
      </c>
      <c r="E49" s="185"/>
      <c r="F49" s="271"/>
      <c r="G49" s="186"/>
      <c r="H49" s="178"/>
      <c r="I49" s="178"/>
      <c r="J49" s="186"/>
      <c r="K49" s="187"/>
      <c r="L49" s="200"/>
      <c r="M49" s="201"/>
      <c r="N49" s="202"/>
      <c r="O49" s="312"/>
      <c r="P49" s="3"/>
    </row>
    <row r="50" spans="1:16" ht="19.5" customHeight="1" x14ac:dyDescent="0.25">
      <c r="A50" s="5"/>
      <c r="B50" s="237">
        <f t="shared" si="2"/>
        <v>2026</v>
      </c>
      <c r="C50" s="183">
        <f>C3</f>
        <v>1</v>
      </c>
      <c r="D50" s="184">
        <v>724</v>
      </c>
      <c r="E50" s="185"/>
      <c r="F50" s="271"/>
      <c r="G50" s="186"/>
      <c r="H50" s="178"/>
      <c r="I50" s="178"/>
      <c r="J50" s="187"/>
      <c r="K50" s="187"/>
      <c r="L50" s="188"/>
      <c r="M50" s="189"/>
      <c r="N50" s="190"/>
      <c r="O50" s="312"/>
      <c r="P50" s="3"/>
    </row>
    <row r="51" spans="1:16" ht="19.5" customHeight="1" thickBot="1" x14ac:dyDescent="0.3">
      <c r="A51" s="5"/>
      <c r="B51" s="238">
        <f t="shared" si="2"/>
        <v>2026</v>
      </c>
      <c r="C51" s="234">
        <f>C3</f>
        <v>1</v>
      </c>
      <c r="D51" s="203">
        <v>726</v>
      </c>
      <c r="E51" s="204"/>
      <c r="F51" s="273"/>
      <c r="G51" s="205"/>
      <c r="H51" s="206"/>
      <c r="I51" s="178"/>
      <c r="J51" s="207"/>
      <c r="K51" s="207"/>
      <c r="L51" s="208"/>
      <c r="M51" s="209"/>
      <c r="N51" s="210"/>
      <c r="O51" s="313"/>
      <c r="P51" s="3"/>
    </row>
    <row r="52" spans="1:16" ht="19.5" customHeight="1" thickBot="1" x14ac:dyDescent="0.3">
      <c r="A52" s="5"/>
      <c r="B52" s="235">
        <f t="shared" si="2"/>
        <v>2026</v>
      </c>
      <c r="C52" s="18">
        <f>C3</f>
        <v>1</v>
      </c>
      <c r="D52" s="19">
        <v>809</v>
      </c>
      <c r="E52" s="16">
        <v>46097</v>
      </c>
      <c r="F52" s="274">
        <v>10.3</v>
      </c>
      <c r="G52" s="17">
        <v>80</v>
      </c>
      <c r="H52" s="18">
        <v>3</v>
      </c>
      <c r="I52" s="19" t="s">
        <v>22</v>
      </c>
      <c r="J52" s="20">
        <v>2</v>
      </c>
      <c r="K52" s="20" t="s">
        <v>23</v>
      </c>
      <c r="L52" s="21">
        <v>6</v>
      </c>
      <c r="M52" s="22">
        <v>6</v>
      </c>
      <c r="N52" s="23">
        <v>6</v>
      </c>
      <c r="O52" s="308" t="s">
        <v>8</v>
      </c>
      <c r="P52" s="3"/>
    </row>
    <row r="53" spans="1:16" ht="19.5" customHeight="1" thickBot="1" x14ac:dyDescent="0.3">
      <c r="A53" s="5"/>
      <c r="B53" s="233">
        <f t="shared" si="2"/>
        <v>2026</v>
      </c>
      <c r="C53" s="26">
        <f>C3</f>
        <v>1</v>
      </c>
      <c r="D53" s="27">
        <v>812</v>
      </c>
      <c r="E53" s="24">
        <v>46097</v>
      </c>
      <c r="F53" s="275">
        <v>8.6</v>
      </c>
      <c r="G53" s="25">
        <v>82</v>
      </c>
      <c r="H53" s="26">
        <v>3</v>
      </c>
      <c r="I53" s="27" t="s">
        <v>24</v>
      </c>
      <c r="J53" s="28"/>
      <c r="K53" s="28" t="s">
        <v>23</v>
      </c>
      <c r="L53" s="29"/>
      <c r="M53" s="30"/>
      <c r="N53" s="31"/>
      <c r="O53" s="308"/>
      <c r="P53" s="3"/>
    </row>
    <row r="54" spans="1:16" ht="19.5" customHeight="1" thickBot="1" x14ac:dyDescent="0.3">
      <c r="A54" s="5"/>
      <c r="B54" s="232">
        <f t="shared" si="2"/>
        <v>2026</v>
      </c>
      <c r="C54" s="34">
        <f>C3</f>
        <v>1</v>
      </c>
      <c r="D54" s="48">
        <v>815</v>
      </c>
      <c r="E54" s="32">
        <v>46097</v>
      </c>
      <c r="F54" s="276">
        <v>5</v>
      </c>
      <c r="G54" s="33">
        <v>127</v>
      </c>
      <c r="H54" s="34">
        <v>3</v>
      </c>
      <c r="I54" s="35" t="s">
        <v>24</v>
      </c>
      <c r="J54" s="36"/>
      <c r="K54" s="36" t="s">
        <v>23</v>
      </c>
      <c r="L54" s="37"/>
      <c r="M54" s="38"/>
      <c r="N54" s="39"/>
      <c r="O54" s="308"/>
      <c r="P54" s="3"/>
    </row>
    <row r="55" spans="1:16" ht="19.5" customHeight="1" thickBot="1" x14ac:dyDescent="0.35">
      <c r="A55" s="5"/>
      <c r="B55" s="232">
        <f t="shared" si="2"/>
        <v>2026</v>
      </c>
      <c r="C55" s="34">
        <f>C3</f>
        <v>1</v>
      </c>
      <c r="D55" s="48" t="s">
        <v>28</v>
      </c>
      <c r="E55" s="40">
        <v>46098</v>
      </c>
      <c r="F55" s="277">
        <v>8.1</v>
      </c>
      <c r="G55" s="33">
        <v>88</v>
      </c>
      <c r="H55" s="34">
        <v>2</v>
      </c>
      <c r="I55" s="35" t="s">
        <v>24</v>
      </c>
      <c r="J55" s="36"/>
      <c r="K55" s="36" t="s">
        <v>23</v>
      </c>
      <c r="L55" s="37"/>
      <c r="M55" s="38"/>
      <c r="N55" s="39"/>
      <c r="O55" s="308"/>
      <c r="P55" s="3"/>
    </row>
    <row r="56" spans="1:16" ht="19.5" customHeight="1" thickBot="1" x14ac:dyDescent="0.35">
      <c r="A56" s="5"/>
      <c r="B56" s="232">
        <f t="shared" si="2"/>
        <v>2026</v>
      </c>
      <c r="C56" s="34">
        <f>C3</f>
        <v>1</v>
      </c>
      <c r="D56" s="48" t="s">
        <v>29</v>
      </c>
      <c r="E56" s="40">
        <v>46098</v>
      </c>
      <c r="F56" s="277">
        <v>3.2</v>
      </c>
      <c r="G56" s="33">
        <v>156</v>
      </c>
      <c r="H56" s="34">
        <v>3</v>
      </c>
      <c r="I56" s="35" t="s">
        <v>24</v>
      </c>
      <c r="J56" s="36"/>
      <c r="K56" s="36" t="s">
        <v>23</v>
      </c>
      <c r="L56" s="37"/>
      <c r="M56" s="38"/>
      <c r="N56" s="39"/>
      <c r="O56" s="308"/>
      <c r="P56" s="3"/>
    </row>
    <row r="57" spans="1:16" ht="19.5" customHeight="1" thickBot="1" x14ac:dyDescent="0.3">
      <c r="A57" s="5"/>
      <c r="B57" s="232">
        <f t="shared" si="2"/>
        <v>2026</v>
      </c>
      <c r="C57" s="34">
        <f>C3</f>
        <v>1</v>
      </c>
      <c r="D57" s="48">
        <v>906</v>
      </c>
      <c r="E57" s="40">
        <v>46097</v>
      </c>
      <c r="F57" s="277">
        <v>3.9</v>
      </c>
      <c r="G57" s="33">
        <v>149</v>
      </c>
      <c r="H57" s="34">
        <v>3</v>
      </c>
      <c r="I57" s="35" t="s">
        <v>24</v>
      </c>
      <c r="J57" s="36"/>
      <c r="K57" s="36" t="s">
        <v>23</v>
      </c>
      <c r="L57" s="37"/>
      <c r="M57" s="38"/>
      <c r="N57" s="39"/>
      <c r="O57" s="308"/>
      <c r="P57" s="3"/>
    </row>
    <row r="58" spans="1:16" ht="19.5" customHeight="1" thickBot="1" x14ac:dyDescent="0.3">
      <c r="A58" s="5"/>
      <c r="B58" s="232">
        <f t="shared" si="2"/>
        <v>2026</v>
      </c>
      <c r="C58" s="34">
        <f>C3</f>
        <v>1</v>
      </c>
      <c r="D58" s="48">
        <v>910</v>
      </c>
      <c r="E58" s="40">
        <v>46097</v>
      </c>
      <c r="F58" s="277">
        <v>2.9</v>
      </c>
      <c r="G58" s="33">
        <v>167</v>
      </c>
      <c r="H58" s="34">
        <v>3</v>
      </c>
      <c r="I58" s="35" t="s">
        <v>24</v>
      </c>
      <c r="J58" s="36"/>
      <c r="K58" s="36" t="s">
        <v>23</v>
      </c>
      <c r="L58" s="37"/>
      <c r="M58" s="38"/>
      <c r="N58" s="39"/>
      <c r="O58" s="308"/>
      <c r="P58" s="3"/>
    </row>
    <row r="59" spans="1:16" ht="19.5" customHeight="1" thickBot="1" x14ac:dyDescent="0.3">
      <c r="A59" s="7"/>
      <c r="B59" s="232">
        <f t="shared" si="2"/>
        <v>2026</v>
      </c>
      <c r="C59" s="34">
        <f>C3</f>
        <v>1</v>
      </c>
      <c r="D59" s="48">
        <v>912</v>
      </c>
      <c r="E59" s="40">
        <v>46098</v>
      </c>
      <c r="F59" s="277">
        <v>3.4</v>
      </c>
      <c r="G59" s="33">
        <v>147</v>
      </c>
      <c r="H59" s="34">
        <v>3</v>
      </c>
      <c r="I59" s="35" t="s">
        <v>24</v>
      </c>
      <c r="J59" s="36"/>
      <c r="K59" s="36" t="s">
        <v>23</v>
      </c>
      <c r="L59" s="37"/>
      <c r="M59" s="38"/>
      <c r="N59" s="39"/>
      <c r="O59" s="308"/>
      <c r="P59" s="3"/>
    </row>
    <row r="60" spans="1:16" ht="19.5" customHeight="1" thickBot="1" x14ac:dyDescent="0.3">
      <c r="A60" s="11"/>
      <c r="B60" s="232">
        <f t="shared" si="2"/>
        <v>2026</v>
      </c>
      <c r="C60" s="34">
        <f>C3</f>
        <v>1</v>
      </c>
      <c r="D60" s="48">
        <v>914</v>
      </c>
      <c r="E60" s="40">
        <v>46098</v>
      </c>
      <c r="F60" s="277">
        <v>2.2000000000000002</v>
      </c>
      <c r="G60" s="33">
        <v>189</v>
      </c>
      <c r="H60" s="34">
        <v>3</v>
      </c>
      <c r="I60" s="35" t="s">
        <v>24</v>
      </c>
      <c r="J60" s="36"/>
      <c r="K60" s="36" t="s">
        <v>23</v>
      </c>
      <c r="L60" s="37"/>
      <c r="M60" s="38"/>
      <c r="N60" s="39"/>
      <c r="O60" s="308"/>
      <c r="P60" s="3"/>
    </row>
    <row r="61" spans="1:16" ht="19.5" customHeight="1" thickBot="1" x14ac:dyDescent="0.3">
      <c r="A61" s="10"/>
      <c r="B61" s="232">
        <f t="shared" si="2"/>
        <v>2026</v>
      </c>
      <c r="C61" s="34">
        <f>C3</f>
        <v>1</v>
      </c>
      <c r="D61" s="48">
        <v>915</v>
      </c>
      <c r="E61" s="40">
        <v>46098</v>
      </c>
      <c r="F61" s="277">
        <v>3.4</v>
      </c>
      <c r="G61" s="33">
        <v>164</v>
      </c>
      <c r="H61" s="34">
        <v>3</v>
      </c>
      <c r="I61" s="35" t="s">
        <v>24</v>
      </c>
      <c r="J61" s="36"/>
      <c r="K61" s="36" t="s">
        <v>23</v>
      </c>
      <c r="L61" s="37"/>
      <c r="M61" s="38"/>
      <c r="N61" s="39"/>
      <c r="O61" s="308"/>
      <c r="P61" s="3"/>
    </row>
    <row r="62" spans="1:16" ht="19.5" customHeight="1" thickBot="1" x14ac:dyDescent="0.3">
      <c r="B62" s="243">
        <f t="shared" si="2"/>
        <v>2026</v>
      </c>
      <c r="C62" s="244">
        <f>C3</f>
        <v>1</v>
      </c>
      <c r="D62" s="245">
        <v>918</v>
      </c>
      <c r="E62" s="246"/>
      <c r="F62" s="278"/>
      <c r="G62" s="247"/>
      <c r="H62" s="244"/>
      <c r="I62" s="248" t="s">
        <v>25</v>
      </c>
      <c r="J62" s="249"/>
      <c r="K62" s="249"/>
      <c r="L62" s="250"/>
      <c r="M62" s="251"/>
      <c r="N62" s="252"/>
      <c r="O62" s="308"/>
      <c r="P62" s="3"/>
    </row>
    <row r="63" spans="1:16" ht="19.5" customHeight="1" thickBot="1" x14ac:dyDescent="0.3">
      <c r="A63" s="12"/>
      <c r="B63" s="236">
        <f t="shared" si="2"/>
        <v>2026</v>
      </c>
      <c r="C63" s="43">
        <f>C3</f>
        <v>1</v>
      </c>
      <c r="D63" s="49">
        <v>919</v>
      </c>
      <c r="E63" s="41">
        <v>46097</v>
      </c>
      <c r="F63" s="279">
        <v>3.5</v>
      </c>
      <c r="G63" s="42">
        <v>126</v>
      </c>
      <c r="H63" s="43">
        <v>3</v>
      </c>
      <c r="I63" s="35" t="s">
        <v>24</v>
      </c>
      <c r="J63" s="44"/>
      <c r="K63" s="44" t="s">
        <v>23</v>
      </c>
      <c r="L63" s="45"/>
      <c r="M63" s="46"/>
      <c r="N63" s="47"/>
      <c r="O63" s="308"/>
      <c r="P63" s="6"/>
    </row>
    <row r="64" spans="1:16" ht="19.5" customHeight="1" x14ac:dyDescent="0.3">
      <c r="A64" s="12"/>
      <c r="B64" s="211" t="s">
        <v>21</v>
      </c>
      <c r="C64" s="212"/>
      <c r="D64" s="212"/>
      <c r="E64" s="212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3">
      <c r="A65" s="12"/>
      <c r="B65" s="211" t="s">
        <v>20</v>
      </c>
      <c r="C65" s="213"/>
      <c r="D65" s="213"/>
      <c r="E65" s="213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12"/>
      <c r="B66" s="211" t="s">
        <v>19</v>
      </c>
      <c r="C66" s="213"/>
      <c r="D66" s="213"/>
      <c r="E66" s="213"/>
      <c r="F66"/>
      <c r="G66"/>
      <c r="H66"/>
      <c r="I66"/>
      <c r="J66"/>
      <c r="K66"/>
      <c r="L66"/>
      <c r="M66"/>
      <c r="N66"/>
      <c r="O66"/>
      <c r="P66"/>
    </row>
    <row r="67" spans="1:16" ht="19.5" customHeight="1" x14ac:dyDescent="0.25">
      <c r="A67" s="12"/>
      <c r="B67" s="215" t="s">
        <v>30</v>
      </c>
      <c r="C67" s="14"/>
      <c r="D67" s="14"/>
      <c r="E67" s="15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 s="12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F80"/>
      <c r="G80"/>
      <c r="H80"/>
      <c r="I80"/>
      <c r="J80"/>
      <c r="K80"/>
      <c r="L80"/>
      <c r="M80"/>
      <c r="N80"/>
      <c r="O80"/>
      <c r="P80"/>
    </row>
    <row r="81" spans="6:16" ht="13.2" x14ac:dyDescent="0.25">
      <c r="F81"/>
      <c r="G81"/>
      <c r="H81"/>
      <c r="I81"/>
      <c r="J81"/>
      <c r="K81"/>
      <c r="L81"/>
      <c r="M81"/>
      <c r="N81"/>
      <c r="O81"/>
      <c r="P81"/>
    </row>
    <row r="82" spans="6:16" ht="13.2" x14ac:dyDescent="0.25">
      <c r="F82"/>
      <c r="G82"/>
      <c r="H82"/>
      <c r="I82"/>
      <c r="J82"/>
      <c r="K82"/>
      <c r="L82"/>
      <c r="M82"/>
      <c r="N82"/>
      <c r="O82"/>
      <c r="P82"/>
    </row>
    <row r="83" spans="6:16" ht="13.2" x14ac:dyDescent="0.25">
      <c r="F83"/>
      <c r="G83"/>
      <c r="H83"/>
      <c r="I83"/>
      <c r="J83"/>
      <c r="K83"/>
      <c r="L83"/>
      <c r="M83"/>
      <c r="N83"/>
      <c r="O83"/>
      <c r="P83"/>
    </row>
    <row r="84" spans="6:16" ht="13.2" x14ac:dyDescent="0.25">
      <c r="F84"/>
      <c r="G84"/>
      <c r="H84"/>
      <c r="I84"/>
      <c r="J84"/>
      <c r="K84"/>
      <c r="L84"/>
      <c r="M84"/>
      <c r="N84"/>
      <c r="O84"/>
      <c r="P84"/>
    </row>
  </sheetData>
  <mergeCells count="7">
    <mergeCell ref="O3:O15"/>
    <mergeCell ref="O16:O21"/>
    <mergeCell ref="O34:O38"/>
    <mergeCell ref="O52:O63"/>
    <mergeCell ref="O25:O33"/>
    <mergeCell ref="O22:O24"/>
    <mergeCell ref="O39:O51"/>
  </mergeCells>
  <dataValidations count="2">
    <dataValidation type="list" allowBlank="1" showInputMessage="1" showErrorMessage="1" sqref="I3:I63" xr:uid="{03117CA3-B570-47DA-9B39-8F5767E76F20}">
      <formula1>"Not Processed, No Smelt Catch, Not Sampled, Longfin Smelt, Delta Smelt"</formula1>
    </dataValidation>
    <dataValidation type="list" allowBlank="1" showInputMessage="1" showErrorMessage="1" sqref="K3:K63" xr:uid="{230275AC-A076-4A7B-861D-C65AD880E695}">
      <formula1>"Preliminary, Complete"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5183-CC2B-4E40-8249-700B1CA9D998}">
  <dimension ref="A1:P110"/>
  <sheetViews>
    <sheetView tabSelected="1" topLeftCell="A56" workbookViewId="0">
      <selection activeCell="I66" sqref="I66"/>
    </sheetView>
  </sheetViews>
  <sheetFormatPr defaultColWidth="9.109375" defaultRowHeight="13.8" x14ac:dyDescent="0.25"/>
  <cols>
    <col min="1" max="1" width="9.109375" style="4"/>
    <col min="2" max="2" width="5.88671875" style="4" customWidth="1"/>
    <col min="3" max="4" width="8.33203125" style="4" customWidth="1"/>
    <col min="5" max="5" width="8.5546875" style="4" customWidth="1"/>
    <col min="6" max="6" width="9.6640625" style="4" customWidth="1"/>
    <col min="7" max="7" width="8.109375" style="4" customWidth="1"/>
    <col min="8" max="8" width="12.109375" style="4" customWidth="1"/>
    <col min="9" max="9" width="16.44140625" style="9" customWidth="1"/>
    <col min="10" max="10" width="7" style="4" customWidth="1"/>
    <col min="11" max="11" width="16.109375" style="4" customWidth="1"/>
    <col min="12" max="12" width="8.109375" style="4" customWidth="1"/>
    <col min="13" max="13" width="7.88671875" style="4" customWidth="1"/>
    <col min="14" max="14" width="8.33203125" style="304" customWidth="1"/>
    <col min="15" max="15" width="7.6640625" style="214" customWidth="1"/>
    <col min="16" max="16" width="9.109375" style="4"/>
    <col min="17" max="17" width="16.44140625" style="4" customWidth="1"/>
    <col min="18" max="18" width="18.88671875" style="4" customWidth="1"/>
    <col min="19" max="29" width="9.109375" style="4"/>
    <col min="30" max="30" width="14.5546875" style="4" bestFit="1" customWidth="1"/>
    <col min="31" max="16384" width="9.109375" style="4"/>
  </cols>
  <sheetData>
    <row r="1" spans="1:16" ht="14.4" thickBot="1" x14ac:dyDescent="0.3">
      <c r="A1" s="281"/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  <c r="N1" s="283"/>
      <c r="P1" s="3"/>
    </row>
    <row r="2" spans="1:16" s="288" customFormat="1" ht="36" customHeight="1" thickBot="1" x14ac:dyDescent="0.3">
      <c r="A2" s="284"/>
      <c r="B2" s="216" t="s">
        <v>0</v>
      </c>
      <c r="C2" s="216" t="s">
        <v>1</v>
      </c>
      <c r="D2" s="216" t="s">
        <v>2</v>
      </c>
      <c r="E2" s="216" t="s">
        <v>3</v>
      </c>
      <c r="F2" s="253" t="s">
        <v>26</v>
      </c>
      <c r="G2" s="216" t="s">
        <v>14</v>
      </c>
      <c r="H2" s="216" t="s">
        <v>4</v>
      </c>
      <c r="I2" s="216" t="s">
        <v>12</v>
      </c>
      <c r="J2" s="216" t="s">
        <v>5</v>
      </c>
      <c r="K2" s="216" t="s">
        <v>13</v>
      </c>
      <c r="L2" s="217" t="s">
        <v>9</v>
      </c>
      <c r="M2" s="218" t="s">
        <v>10</v>
      </c>
      <c r="N2" s="285" t="s">
        <v>11</v>
      </c>
      <c r="O2" s="286"/>
      <c r="P2" s="287"/>
    </row>
    <row r="3" spans="1:16" ht="19.5" customHeight="1" thickBot="1" x14ac:dyDescent="0.3">
      <c r="A3" s="289"/>
      <c r="B3" s="51">
        <f>'[1]Survey 1'!B3</f>
        <v>2026</v>
      </c>
      <c r="C3" s="51">
        <v>2</v>
      </c>
      <c r="D3" s="51">
        <v>306</v>
      </c>
      <c r="E3" s="52"/>
      <c r="F3" s="254"/>
      <c r="G3" s="53"/>
      <c r="H3" s="51"/>
      <c r="I3" s="51"/>
      <c r="J3" s="54"/>
      <c r="K3" s="53"/>
      <c r="L3" s="55"/>
      <c r="M3" s="56"/>
      <c r="N3" s="231"/>
      <c r="O3" s="305" t="s">
        <v>17</v>
      </c>
      <c r="P3" s="3"/>
    </row>
    <row r="4" spans="1:16" ht="19.5" customHeight="1" thickBot="1" x14ac:dyDescent="0.3">
      <c r="A4" s="289"/>
      <c r="B4" s="57">
        <f>B3</f>
        <v>2026</v>
      </c>
      <c r="C4" s="58">
        <f t="shared" ref="C4:C15" si="0">C3</f>
        <v>2</v>
      </c>
      <c r="D4" s="223">
        <v>308</v>
      </c>
      <c r="E4" s="224"/>
      <c r="F4" s="255"/>
      <c r="G4" s="225"/>
      <c r="H4" s="223"/>
      <c r="I4" s="226"/>
      <c r="J4" s="227"/>
      <c r="K4" s="225"/>
      <c r="L4" s="228"/>
      <c r="M4" s="229"/>
      <c r="N4" s="230"/>
      <c r="O4" s="305"/>
      <c r="P4" s="3"/>
    </row>
    <row r="5" spans="1:16" ht="19.5" customHeight="1" thickBot="1" x14ac:dyDescent="0.3">
      <c r="A5" s="289"/>
      <c r="B5" s="57">
        <f t="shared" ref="B5:B14" si="1">B4</f>
        <v>2026</v>
      </c>
      <c r="C5" s="58">
        <f t="shared" si="0"/>
        <v>2</v>
      </c>
      <c r="D5" s="57">
        <v>311</v>
      </c>
      <c r="E5" s="59"/>
      <c r="F5" s="256"/>
      <c r="G5" s="60"/>
      <c r="H5" s="57"/>
      <c r="I5" s="61"/>
      <c r="J5" s="62"/>
      <c r="K5" s="60"/>
      <c r="L5" s="63"/>
      <c r="M5" s="64"/>
      <c r="N5" s="221"/>
      <c r="O5" s="305"/>
      <c r="P5" s="3"/>
    </row>
    <row r="6" spans="1:16" ht="19.5" customHeight="1" thickBot="1" x14ac:dyDescent="0.3">
      <c r="A6" s="289"/>
      <c r="B6" s="57">
        <f t="shared" si="1"/>
        <v>2026</v>
      </c>
      <c r="C6" s="58">
        <f t="shared" si="0"/>
        <v>2</v>
      </c>
      <c r="D6" s="57">
        <v>315</v>
      </c>
      <c r="E6" s="59"/>
      <c r="F6" s="256"/>
      <c r="G6" s="60"/>
      <c r="H6" s="57"/>
      <c r="I6" s="61"/>
      <c r="J6" s="62"/>
      <c r="K6" s="60"/>
      <c r="L6" s="63"/>
      <c r="M6" s="64"/>
      <c r="N6" s="221"/>
      <c r="O6" s="305"/>
      <c r="P6" s="3"/>
    </row>
    <row r="7" spans="1:16" ht="19.5" customHeight="1" thickBot="1" x14ac:dyDescent="0.3">
      <c r="A7" s="289"/>
      <c r="B7" s="57">
        <f t="shared" si="1"/>
        <v>2026</v>
      </c>
      <c r="C7" s="58">
        <f t="shared" si="0"/>
        <v>2</v>
      </c>
      <c r="D7" s="57">
        <v>322</v>
      </c>
      <c r="E7" s="59"/>
      <c r="F7" s="256"/>
      <c r="G7" s="60"/>
      <c r="H7" s="57"/>
      <c r="I7" s="61"/>
      <c r="J7" s="62"/>
      <c r="K7" s="60"/>
      <c r="L7" s="63"/>
      <c r="M7" s="64"/>
      <c r="N7" s="221"/>
      <c r="O7" s="305"/>
      <c r="P7" s="3"/>
    </row>
    <row r="8" spans="1:16" ht="19.5" customHeight="1" thickBot="1" x14ac:dyDescent="0.3">
      <c r="A8" s="289"/>
      <c r="B8" s="57">
        <f t="shared" si="1"/>
        <v>2026</v>
      </c>
      <c r="C8" s="58">
        <f t="shared" si="0"/>
        <v>2</v>
      </c>
      <c r="D8" s="57">
        <v>323</v>
      </c>
      <c r="E8" s="59"/>
      <c r="F8" s="256"/>
      <c r="G8" s="60"/>
      <c r="H8" s="57"/>
      <c r="I8" s="61"/>
      <c r="J8" s="62"/>
      <c r="K8" s="60"/>
      <c r="L8" s="63"/>
      <c r="M8" s="64"/>
      <c r="N8" s="221"/>
      <c r="O8" s="305"/>
      <c r="P8" s="3"/>
    </row>
    <row r="9" spans="1:16" ht="19.5" customHeight="1" thickBot="1" x14ac:dyDescent="0.3">
      <c r="A9" s="289"/>
      <c r="B9" s="57">
        <f t="shared" si="1"/>
        <v>2026</v>
      </c>
      <c r="C9" s="58">
        <f t="shared" si="0"/>
        <v>2</v>
      </c>
      <c r="D9" s="57">
        <v>327</v>
      </c>
      <c r="E9" s="59"/>
      <c r="F9" s="256"/>
      <c r="G9" s="60"/>
      <c r="H9" s="57"/>
      <c r="I9" s="61"/>
      <c r="J9" s="62"/>
      <c r="K9" s="60"/>
      <c r="L9" s="63"/>
      <c r="M9" s="64"/>
      <c r="N9" s="221"/>
      <c r="O9" s="305"/>
      <c r="P9" s="3"/>
    </row>
    <row r="10" spans="1:16" ht="19.5" customHeight="1" thickBot="1" x14ac:dyDescent="0.3">
      <c r="A10" s="289"/>
      <c r="B10" s="57">
        <f t="shared" si="1"/>
        <v>2026</v>
      </c>
      <c r="C10" s="58">
        <f t="shared" si="0"/>
        <v>2</v>
      </c>
      <c r="D10" s="57">
        <v>328</v>
      </c>
      <c r="E10" s="59"/>
      <c r="F10" s="256"/>
      <c r="G10" s="60"/>
      <c r="H10" s="57"/>
      <c r="I10" s="61"/>
      <c r="J10" s="62"/>
      <c r="K10" s="60"/>
      <c r="L10" s="63"/>
      <c r="M10" s="64"/>
      <c r="N10" s="221"/>
      <c r="O10" s="305"/>
      <c r="P10" s="3"/>
    </row>
    <row r="11" spans="1:16" ht="19.5" customHeight="1" thickBot="1" x14ac:dyDescent="0.3">
      <c r="A11" s="289"/>
      <c r="B11" s="57">
        <f t="shared" si="1"/>
        <v>2026</v>
      </c>
      <c r="C11" s="58">
        <f t="shared" si="0"/>
        <v>2</v>
      </c>
      <c r="D11" s="57">
        <v>329</v>
      </c>
      <c r="E11" s="59"/>
      <c r="F11" s="256"/>
      <c r="G11" s="60"/>
      <c r="H11" s="57"/>
      <c r="I11" s="61"/>
      <c r="J11" s="62"/>
      <c r="K11" s="60"/>
      <c r="L11" s="63"/>
      <c r="M11" s="64"/>
      <c r="N11" s="221"/>
      <c r="O11" s="305"/>
      <c r="P11" s="3"/>
    </row>
    <row r="12" spans="1:16" ht="19.5" customHeight="1" thickBot="1" x14ac:dyDescent="0.3">
      <c r="A12" s="289"/>
      <c r="B12" s="57">
        <f t="shared" si="1"/>
        <v>2026</v>
      </c>
      <c r="C12" s="58">
        <f t="shared" si="0"/>
        <v>2</v>
      </c>
      <c r="D12" s="57">
        <v>330</v>
      </c>
      <c r="E12" s="59"/>
      <c r="F12" s="256"/>
      <c r="G12" s="60"/>
      <c r="H12" s="57"/>
      <c r="I12" s="61"/>
      <c r="J12" s="62"/>
      <c r="K12" s="60"/>
      <c r="L12" s="63"/>
      <c r="M12" s="64"/>
      <c r="N12" s="221"/>
      <c r="O12" s="305"/>
      <c r="P12" s="3"/>
    </row>
    <row r="13" spans="1:16" ht="19.5" customHeight="1" thickBot="1" x14ac:dyDescent="0.3">
      <c r="A13" s="289"/>
      <c r="B13" s="57">
        <f t="shared" si="1"/>
        <v>2026</v>
      </c>
      <c r="C13" s="58">
        <f t="shared" si="0"/>
        <v>2</v>
      </c>
      <c r="D13" s="57">
        <v>335</v>
      </c>
      <c r="E13" s="59"/>
      <c r="F13" s="256"/>
      <c r="G13" s="60"/>
      <c r="H13" s="57"/>
      <c r="I13" s="61"/>
      <c r="J13" s="62"/>
      <c r="K13" s="60"/>
      <c r="L13" s="63"/>
      <c r="M13" s="64"/>
      <c r="N13" s="221"/>
      <c r="O13" s="305"/>
      <c r="P13" s="3"/>
    </row>
    <row r="14" spans="1:16" ht="19.5" customHeight="1" thickBot="1" x14ac:dyDescent="0.3">
      <c r="A14" s="289"/>
      <c r="B14" s="57">
        <f t="shared" si="1"/>
        <v>2026</v>
      </c>
      <c r="C14" s="58">
        <f t="shared" si="0"/>
        <v>2</v>
      </c>
      <c r="D14" s="57">
        <v>336</v>
      </c>
      <c r="E14" s="59"/>
      <c r="F14" s="256"/>
      <c r="G14" s="60"/>
      <c r="H14" s="57"/>
      <c r="I14" s="61"/>
      <c r="J14" s="62"/>
      <c r="K14" s="60"/>
      <c r="L14" s="63"/>
      <c r="M14" s="64"/>
      <c r="N14" s="221"/>
      <c r="O14" s="305"/>
      <c r="P14" s="3"/>
    </row>
    <row r="15" spans="1:16" ht="19.5" customHeight="1" thickBot="1" x14ac:dyDescent="0.3">
      <c r="A15" s="289"/>
      <c r="B15" s="65">
        <f>B14</f>
        <v>2026</v>
      </c>
      <c r="C15" s="58">
        <f t="shared" si="0"/>
        <v>2</v>
      </c>
      <c r="D15" s="65">
        <v>338</v>
      </c>
      <c r="E15" s="66"/>
      <c r="F15" s="257"/>
      <c r="G15" s="67"/>
      <c r="H15" s="65"/>
      <c r="I15" s="61"/>
      <c r="J15" s="68"/>
      <c r="K15" s="67"/>
      <c r="L15" s="69"/>
      <c r="M15" s="70"/>
      <c r="N15" s="222"/>
      <c r="O15" s="305"/>
      <c r="P15" s="3"/>
    </row>
    <row r="16" spans="1:16" ht="19.5" customHeight="1" thickBot="1" x14ac:dyDescent="0.3">
      <c r="A16" s="289"/>
      <c r="B16" s="71">
        <f>B15</f>
        <v>2026</v>
      </c>
      <c r="C16" s="72">
        <f>C3</f>
        <v>2</v>
      </c>
      <c r="D16" s="71">
        <v>340</v>
      </c>
      <c r="E16" s="73"/>
      <c r="F16" s="258"/>
      <c r="G16" s="74"/>
      <c r="H16" s="71"/>
      <c r="I16" s="71"/>
      <c r="J16" s="75"/>
      <c r="K16" s="75"/>
      <c r="L16" s="76"/>
      <c r="M16" s="77"/>
      <c r="N16" s="78"/>
      <c r="O16" s="306" t="s">
        <v>15</v>
      </c>
      <c r="P16" s="3"/>
    </row>
    <row r="17" spans="1:16" ht="19.5" customHeight="1" thickBot="1" x14ac:dyDescent="0.3">
      <c r="A17" s="289"/>
      <c r="B17" s="79">
        <f>B16</f>
        <v>2026</v>
      </c>
      <c r="C17" s="79">
        <f>C3</f>
        <v>2</v>
      </c>
      <c r="D17" s="80">
        <v>342</v>
      </c>
      <c r="E17" s="81"/>
      <c r="F17" s="259"/>
      <c r="G17" s="82"/>
      <c r="H17" s="80"/>
      <c r="I17" s="80"/>
      <c r="J17" s="83"/>
      <c r="K17" s="83"/>
      <c r="L17" s="84"/>
      <c r="M17" s="85"/>
      <c r="N17" s="86"/>
      <c r="O17" s="306"/>
      <c r="P17" s="3"/>
    </row>
    <row r="18" spans="1:16" ht="19.5" customHeight="1" thickBot="1" x14ac:dyDescent="0.3">
      <c r="A18" s="289"/>
      <c r="B18" s="79">
        <f t="shared" ref="B18:B63" si="2">B17</f>
        <v>2026</v>
      </c>
      <c r="C18" s="79">
        <f>C3</f>
        <v>2</v>
      </c>
      <c r="D18" s="80">
        <v>343</v>
      </c>
      <c r="E18" s="81"/>
      <c r="F18" s="259"/>
      <c r="G18" s="82"/>
      <c r="H18" s="80"/>
      <c r="I18" s="80"/>
      <c r="J18" s="83"/>
      <c r="K18" s="83"/>
      <c r="L18" s="84"/>
      <c r="M18" s="85"/>
      <c r="N18" s="86"/>
      <c r="O18" s="306"/>
      <c r="P18" s="3"/>
    </row>
    <row r="19" spans="1:16" ht="19.5" customHeight="1" thickBot="1" x14ac:dyDescent="0.3">
      <c r="A19" s="289"/>
      <c r="B19" s="79">
        <f t="shared" si="2"/>
        <v>2026</v>
      </c>
      <c r="C19" s="79">
        <f>C4</f>
        <v>2</v>
      </c>
      <c r="D19" s="80">
        <v>344</v>
      </c>
      <c r="E19" s="81"/>
      <c r="F19" s="259"/>
      <c r="G19" s="82"/>
      <c r="H19" s="80"/>
      <c r="I19" s="80"/>
      <c r="J19" s="83"/>
      <c r="K19" s="83"/>
      <c r="L19" s="84"/>
      <c r="M19" s="85"/>
      <c r="N19" s="86"/>
      <c r="O19" s="306"/>
      <c r="P19" s="3"/>
    </row>
    <row r="20" spans="1:16" ht="19.5" customHeight="1" thickBot="1" x14ac:dyDescent="0.3">
      <c r="A20" s="289"/>
      <c r="B20" s="79">
        <f t="shared" si="2"/>
        <v>2026</v>
      </c>
      <c r="C20" s="79">
        <f>C5</f>
        <v>2</v>
      </c>
      <c r="D20" s="80">
        <v>345</v>
      </c>
      <c r="E20" s="81"/>
      <c r="F20" s="259"/>
      <c r="G20" s="82"/>
      <c r="H20" s="80"/>
      <c r="I20" s="80"/>
      <c r="J20" s="83"/>
      <c r="K20" s="83"/>
      <c r="L20" s="84"/>
      <c r="M20" s="85"/>
      <c r="N20" s="86"/>
      <c r="O20" s="306"/>
      <c r="P20" s="3"/>
    </row>
    <row r="21" spans="1:16" ht="19.5" customHeight="1" thickBot="1" x14ac:dyDescent="0.3">
      <c r="A21" s="289"/>
      <c r="B21" s="87">
        <f t="shared" si="2"/>
        <v>2026</v>
      </c>
      <c r="C21" s="88">
        <f>C6</f>
        <v>2</v>
      </c>
      <c r="D21" s="89">
        <v>346</v>
      </c>
      <c r="E21" s="90"/>
      <c r="F21" s="260"/>
      <c r="G21" s="91"/>
      <c r="H21" s="89"/>
      <c r="I21" s="89"/>
      <c r="J21" s="92"/>
      <c r="K21" s="92"/>
      <c r="L21" s="93"/>
      <c r="M21" s="94"/>
      <c r="N21" s="95"/>
      <c r="O21" s="306"/>
      <c r="P21" s="3"/>
    </row>
    <row r="22" spans="1:16" ht="19.5" customHeight="1" thickBot="1" x14ac:dyDescent="0.3">
      <c r="A22" s="289"/>
      <c r="B22" s="96">
        <f t="shared" si="2"/>
        <v>2026</v>
      </c>
      <c r="C22" s="97">
        <f>C3</f>
        <v>2</v>
      </c>
      <c r="D22" s="96">
        <v>401</v>
      </c>
      <c r="E22" s="98"/>
      <c r="F22" s="261"/>
      <c r="G22" s="99"/>
      <c r="H22" s="96"/>
      <c r="I22" s="96"/>
      <c r="J22" s="100"/>
      <c r="K22" s="100"/>
      <c r="L22" s="101"/>
      <c r="M22" s="102"/>
      <c r="N22" s="103"/>
      <c r="O22" s="310" t="s">
        <v>16</v>
      </c>
      <c r="P22" s="3"/>
    </row>
    <row r="23" spans="1:16" ht="19.5" customHeight="1" thickBot="1" x14ac:dyDescent="0.3">
      <c r="A23" s="289"/>
      <c r="B23" s="96">
        <f t="shared" si="2"/>
        <v>2026</v>
      </c>
      <c r="C23" s="104">
        <f>C3</f>
        <v>2</v>
      </c>
      <c r="D23" s="105">
        <v>404</v>
      </c>
      <c r="E23" s="106"/>
      <c r="F23" s="261"/>
      <c r="G23" s="99"/>
      <c r="H23" s="96"/>
      <c r="I23" s="105"/>
      <c r="J23" s="107"/>
      <c r="K23" s="107"/>
      <c r="L23" s="108"/>
      <c r="M23" s="109"/>
      <c r="N23" s="110"/>
      <c r="O23" s="310"/>
      <c r="P23" s="3"/>
    </row>
    <row r="24" spans="1:16" ht="19.5" customHeight="1" thickBot="1" x14ac:dyDescent="0.3">
      <c r="A24" s="289"/>
      <c r="B24" s="111">
        <f t="shared" si="2"/>
        <v>2026</v>
      </c>
      <c r="C24" s="111">
        <f>C3</f>
        <v>2</v>
      </c>
      <c r="D24" s="112">
        <v>405</v>
      </c>
      <c r="E24" s="113"/>
      <c r="F24" s="262"/>
      <c r="G24" s="114"/>
      <c r="H24" s="115"/>
      <c r="I24" s="112"/>
      <c r="J24" s="114"/>
      <c r="K24" s="114"/>
      <c r="L24" s="116"/>
      <c r="M24" s="117"/>
      <c r="N24" s="118"/>
      <c r="O24" s="310"/>
      <c r="P24" s="3"/>
    </row>
    <row r="25" spans="1:16" ht="19.5" customHeight="1" thickBot="1" x14ac:dyDescent="0.3">
      <c r="A25" s="289"/>
      <c r="B25" s="119">
        <f t="shared" si="2"/>
        <v>2026</v>
      </c>
      <c r="C25" s="119">
        <f>C3</f>
        <v>2</v>
      </c>
      <c r="D25" s="120">
        <v>411</v>
      </c>
      <c r="E25" s="121"/>
      <c r="F25" s="263"/>
      <c r="G25" s="122"/>
      <c r="H25" s="123"/>
      <c r="I25" s="120"/>
      <c r="J25" s="122"/>
      <c r="K25" s="122"/>
      <c r="L25" s="124"/>
      <c r="M25" s="125"/>
      <c r="N25" s="126"/>
      <c r="O25" s="309" t="s">
        <v>18</v>
      </c>
      <c r="P25" s="3"/>
    </row>
    <row r="26" spans="1:16" ht="19.5" customHeight="1" thickBot="1" x14ac:dyDescent="0.3">
      <c r="A26" s="289"/>
      <c r="B26" s="127">
        <f t="shared" si="2"/>
        <v>2026</v>
      </c>
      <c r="C26" s="127">
        <f>C3</f>
        <v>2</v>
      </c>
      <c r="D26" s="128">
        <v>418</v>
      </c>
      <c r="E26" s="129"/>
      <c r="F26" s="264"/>
      <c r="G26" s="130"/>
      <c r="H26" s="131"/>
      <c r="I26" s="128"/>
      <c r="J26" s="130"/>
      <c r="K26" s="130"/>
      <c r="L26" s="132"/>
      <c r="M26" s="133"/>
      <c r="N26" s="134"/>
      <c r="O26" s="309"/>
      <c r="P26" s="3"/>
    </row>
    <row r="27" spans="1:16" ht="19.5" customHeight="1" thickBot="1" x14ac:dyDescent="0.3">
      <c r="A27" s="289"/>
      <c r="B27" s="127">
        <f t="shared" si="2"/>
        <v>2026</v>
      </c>
      <c r="C27" s="127">
        <f>C3</f>
        <v>2</v>
      </c>
      <c r="D27" s="128">
        <v>501</v>
      </c>
      <c r="E27" s="135"/>
      <c r="F27" s="265"/>
      <c r="G27" s="136"/>
      <c r="H27" s="131"/>
      <c r="I27" s="128"/>
      <c r="J27" s="130"/>
      <c r="K27" s="130"/>
      <c r="L27" s="132"/>
      <c r="M27" s="133"/>
      <c r="N27" s="134"/>
      <c r="O27" s="309"/>
      <c r="P27" s="3"/>
    </row>
    <row r="28" spans="1:16" ht="19.5" customHeight="1" thickBot="1" x14ac:dyDescent="0.3">
      <c r="A28" s="289"/>
      <c r="B28" s="127">
        <f t="shared" si="2"/>
        <v>2026</v>
      </c>
      <c r="C28" s="127">
        <f>C3</f>
        <v>2</v>
      </c>
      <c r="D28" s="128">
        <v>504</v>
      </c>
      <c r="E28" s="129"/>
      <c r="F28" s="264"/>
      <c r="G28" s="130"/>
      <c r="H28" s="131"/>
      <c r="I28" s="128"/>
      <c r="J28" s="130"/>
      <c r="K28" s="130"/>
      <c r="L28" s="132"/>
      <c r="M28" s="133"/>
      <c r="N28" s="134"/>
      <c r="O28" s="309"/>
      <c r="P28" s="3"/>
    </row>
    <row r="29" spans="1:16" ht="19.5" customHeight="1" thickBot="1" x14ac:dyDescent="0.3">
      <c r="A29" s="289"/>
      <c r="B29" s="127">
        <f t="shared" si="2"/>
        <v>2026</v>
      </c>
      <c r="C29" s="127">
        <f>C3</f>
        <v>2</v>
      </c>
      <c r="D29" s="128">
        <v>519</v>
      </c>
      <c r="E29" s="129"/>
      <c r="F29" s="264"/>
      <c r="G29" s="130"/>
      <c r="H29" s="131"/>
      <c r="I29" s="128"/>
      <c r="J29" s="130"/>
      <c r="K29" s="130"/>
      <c r="L29" s="132"/>
      <c r="M29" s="133"/>
      <c r="N29" s="134"/>
      <c r="O29" s="309"/>
      <c r="P29" s="3"/>
    </row>
    <row r="30" spans="1:16" ht="19.5" customHeight="1" thickBot="1" x14ac:dyDescent="0.3">
      <c r="A30" s="289"/>
      <c r="B30" s="127">
        <f t="shared" si="2"/>
        <v>2026</v>
      </c>
      <c r="C30" s="127">
        <f>C3</f>
        <v>2</v>
      </c>
      <c r="D30" s="128">
        <v>602</v>
      </c>
      <c r="E30" s="135"/>
      <c r="F30" s="265"/>
      <c r="G30" s="136"/>
      <c r="H30" s="131"/>
      <c r="I30" s="128"/>
      <c r="J30" s="130"/>
      <c r="K30" s="130"/>
      <c r="L30" s="132"/>
      <c r="M30" s="133"/>
      <c r="N30" s="134"/>
      <c r="O30" s="309"/>
      <c r="P30" s="3"/>
    </row>
    <row r="31" spans="1:16" ht="19.5" customHeight="1" thickBot="1" x14ac:dyDescent="0.3">
      <c r="A31" s="289"/>
      <c r="B31" s="127">
        <f t="shared" si="2"/>
        <v>2026</v>
      </c>
      <c r="C31" s="127">
        <f>C3</f>
        <v>2</v>
      </c>
      <c r="D31" s="128">
        <v>606</v>
      </c>
      <c r="E31" s="129"/>
      <c r="F31" s="264"/>
      <c r="G31" s="130"/>
      <c r="H31" s="131"/>
      <c r="I31" s="128"/>
      <c r="J31" s="130"/>
      <c r="K31" s="130"/>
      <c r="L31" s="132"/>
      <c r="M31" s="133"/>
      <c r="N31" s="134"/>
      <c r="O31" s="309"/>
      <c r="P31" s="3"/>
    </row>
    <row r="32" spans="1:16" ht="19.5" customHeight="1" thickBot="1" x14ac:dyDescent="0.3">
      <c r="A32" s="289"/>
      <c r="B32" s="127">
        <f t="shared" si="2"/>
        <v>2026</v>
      </c>
      <c r="C32" s="127">
        <f>C3</f>
        <v>2</v>
      </c>
      <c r="D32" s="128">
        <v>609</v>
      </c>
      <c r="E32" s="129"/>
      <c r="F32" s="264"/>
      <c r="G32" s="130"/>
      <c r="H32" s="131"/>
      <c r="I32" s="128"/>
      <c r="J32" s="130"/>
      <c r="K32" s="130"/>
      <c r="L32" s="132"/>
      <c r="M32" s="133"/>
      <c r="N32" s="134"/>
      <c r="O32" s="309"/>
      <c r="P32" s="3"/>
    </row>
    <row r="33" spans="1:16" ht="19.5" customHeight="1" thickBot="1" x14ac:dyDescent="0.3">
      <c r="A33" s="289"/>
      <c r="B33" s="137">
        <f t="shared" si="2"/>
        <v>2026</v>
      </c>
      <c r="C33" s="138">
        <f>C3</f>
        <v>2</v>
      </c>
      <c r="D33" s="139">
        <v>610</v>
      </c>
      <c r="E33" s="140"/>
      <c r="F33" s="266"/>
      <c r="G33" s="141"/>
      <c r="H33" s="142"/>
      <c r="I33" s="139"/>
      <c r="J33" s="143"/>
      <c r="K33" s="143"/>
      <c r="L33" s="144"/>
      <c r="M33" s="145"/>
      <c r="N33" s="146"/>
      <c r="O33" s="309"/>
      <c r="P33" s="3"/>
    </row>
    <row r="34" spans="1:16" ht="19.5" customHeight="1" thickBot="1" x14ac:dyDescent="0.3">
      <c r="A34" s="289"/>
      <c r="B34" s="290">
        <f t="shared" si="2"/>
        <v>2026</v>
      </c>
      <c r="C34" s="291">
        <f>C3</f>
        <v>2</v>
      </c>
      <c r="D34" s="292">
        <v>508</v>
      </c>
      <c r="E34" s="293"/>
      <c r="F34" s="294"/>
      <c r="G34" s="295"/>
      <c r="H34" s="296"/>
      <c r="I34" s="297" t="s">
        <v>25</v>
      </c>
      <c r="J34" s="297"/>
      <c r="K34" s="297"/>
      <c r="L34" s="298"/>
      <c r="M34" s="299"/>
      <c r="N34" s="300"/>
      <c r="O34" s="307" t="s">
        <v>6</v>
      </c>
      <c r="P34" s="3"/>
    </row>
    <row r="35" spans="1:16" ht="19.5" customHeight="1" thickBot="1" x14ac:dyDescent="0.3">
      <c r="A35" s="289"/>
      <c r="B35" s="243">
        <f t="shared" si="2"/>
        <v>2026</v>
      </c>
      <c r="C35" s="291">
        <f>C3</f>
        <v>2</v>
      </c>
      <c r="D35" s="245">
        <v>513</v>
      </c>
      <c r="E35" s="246"/>
      <c r="F35" s="278"/>
      <c r="G35" s="247"/>
      <c r="H35" s="244"/>
      <c r="I35" s="249" t="s">
        <v>25</v>
      </c>
      <c r="J35" s="249"/>
      <c r="K35" s="249"/>
      <c r="L35" s="250"/>
      <c r="M35" s="251"/>
      <c r="N35" s="252"/>
      <c r="O35" s="307"/>
      <c r="P35" s="3"/>
    </row>
    <row r="36" spans="1:16" ht="19.5" customHeight="1" thickBot="1" x14ac:dyDescent="0.3">
      <c r="A36" s="289"/>
      <c r="B36" s="241">
        <f t="shared" si="2"/>
        <v>2026</v>
      </c>
      <c r="C36" s="147">
        <f>C3</f>
        <v>2</v>
      </c>
      <c r="D36" s="156">
        <v>520</v>
      </c>
      <c r="E36" s="157"/>
      <c r="F36" s="268"/>
      <c r="G36" s="158"/>
      <c r="H36" s="159"/>
      <c r="I36" s="160"/>
      <c r="J36" s="160"/>
      <c r="K36" s="160"/>
      <c r="L36" s="161"/>
      <c r="M36" s="162"/>
      <c r="N36" s="163"/>
      <c r="O36" s="307"/>
      <c r="P36" s="3"/>
    </row>
    <row r="37" spans="1:16" ht="19.5" customHeight="1" thickBot="1" x14ac:dyDescent="0.3">
      <c r="A37" s="289"/>
      <c r="B37" s="241">
        <f t="shared" si="2"/>
        <v>2026</v>
      </c>
      <c r="C37" s="147">
        <f>C3</f>
        <v>2</v>
      </c>
      <c r="D37" s="156">
        <v>801</v>
      </c>
      <c r="E37" s="157"/>
      <c r="F37" s="268"/>
      <c r="G37" s="158"/>
      <c r="H37" s="159"/>
      <c r="I37" s="160"/>
      <c r="J37" s="160"/>
      <c r="K37" s="160"/>
      <c r="L37" s="161"/>
      <c r="M37" s="162"/>
      <c r="N37" s="163"/>
      <c r="O37" s="307"/>
      <c r="P37" s="3"/>
    </row>
    <row r="38" spans="1:16" ht="19.5" customHeight="1" thickBot="1" x14ac:dyDescent="0.3">
      <c r="A38" s="289"/>
      <c r="B38" s="242">
        <f t="shared" si="2"/>
        <v>2026</v>
      </c>
      <c r="C38" s="164">
        <f>C3</f>
        <v>2</v>
      </c>
      <c r="D38" s="165">
        <v>804</v>
      </c>
      <c r="E38" s="166"/>
      <c r="F38" s="269"/>
      <c r="G38" s="167"/>
      <c r="H38" s="168"/>
      <c r="I38" s="169"/>
      <c r="J38" s="169"/>
      <c r="K38" s="169"/>
      <c r="L38" s="170"/>
      <c r="M38" s="171"/>
      <c r="N38" s="172"/>
      <c r="O38" s="307"/>
      <c r="P38" s="3"/>
    </row>
    <row r="39" spans="1:16" ht="19.5" customHeight="1" x14ac:dyDescent="0.25">
      <c r="A39" s="289"/>
      <c r="B39" s="239">
        <f t="shared" si="2"/>
        <v>2026</v>
      </c>
      <c r="C39" s="173">
        <f>C3</f>
        <v>2</v>
      </c>
      <c r="D39" s="174">
        <v>703</v>
      </c>
      <c r="E39" s="175"/>
      <c r="F39" s="270"/>
      <c r="G39" s="176"/>
      <c r="H39" s="177"/>
      <c r="I39" s="178"/>
      <c r="J39" s="179"/>
      <c r="K39" s="179"/>
      <c r="L39" s="180"/>
      <c r="M39" s="181"/>
      <c r="N39" s="182"/>
      <c r="O39" s="311" t="s">
        <v>7</v>
      </c>
      <c r="P39" s="3"/>
    </row>
    <row r="40" spans="1:16" ht="19.5" customHeight="1" x14ac:dyDescent="0.25">
      <c r="A40" s="289"/>
      <c r="B40" s="237">
        <f t="shared" si="2"/>
        <v>2026</v>
      </c>
      <c r="C40" s="183">
        <f>C3</f>
        <v>2</v>
      </c>
      <c r="D40" s="184">
        <v>704</v>
      </c>
      <c r="E40" s="185"/>
      <c r="F40" s="271"/>
      <c r="G40" s="186"/>
      <c r="H40" s="178"/>
      <c r="I40" s="178"/>
      <c r="J40" s="187"/>
      <c r="K40" s="187"/>
      <c r="L40" s="188"/>
      <c r="M40" s="189"/>
      <c r="N40" s="190"/>
      <c r="O40" s="312"/>
      <c r="P40" s="3"/>
    </row>
    <row r="41" spans="1:16" ht="19.5" customHeight="1" x14ac:dyDescent="0.25">
      <c r="A41" s="289"/>
      <c r="B41" s="237">
        <f t="shared" si="2"/>
        <v>2026</v>
      </c>
      <c r="C41" s="183">
        <f>C3</f>
        <v>2</v>
      </c>
      <c r="D41" s="184">
        <v>705</v>
      </c>
      <c r="E41" s="185"/>
      <c r="F41" s="271"/>
      <c r="G41" s="186"/>
      <c r="H41" s="178"/>
      <c r="I41" s="178"/>
      <c r="J41" s="187"/>
      <c r="K41" s="187"/>
      <c r="L41" s="188"/>
      <c r="M41" s="189"/>
      <c r="N41" s="190"/>
      <c r="O41" s="312"/>
      <c r="P41" s="3"/>
    </row>
    <row r="42" spans="1:16" ht="19.5" customHeight="1" x14ac:dyDescent="0.25">
      <c r="A42" s="289"/>
      <c r="B42" s="237">
        <f t="shared" si="2"/>
        <v>2026</v>
      </c>
      <c r="C42" s="183">
        <f>C3</f>
        <v>2</v>
      </c>
      <c r="D42" s="184">
        <v>706</v>
      </c>
      <c r="E42" s="185"/>
      <c r="F42" s="271"/>
      <c r="G42" s="186"/>
      <c r="H42" s="178"/>
      <c r="I42" s="178"/>
      <c r="J42" s="187"/>
      <c r="K42" s="187"/>
      <c r="L42" s="188"/>
      <c r="M42" s="189"/>
      <c r="N42" s="190"/>
      <c r="O42" s="312"/>
      <c r="P42" s="3"/>
    </row>
    <row r="43" spans="1:16" ht="19.5" customHeight="1" x14ac:dyDescent="0.25">
      <c r="A43" s="289"/>
      <c r="B43" s="237">
        <f t="shared" si="2"/>
        <v>2026</v>
      </c>
      <c r="C43" s="183">
        <f>C3</f>
        <v>2</v>
      </c>
      <c r="D43" s="184">
        <v>707</v>
      </c>
      <c r="E43" s="185"/>
      <c r="F43" s="271"/>
      <c r="G43" s="186"/>
      <c r="H43" s="178"/>
      <c r="I43" s="178"/>
      <c r="J43" s="187"/>
      <c r="K43" s="187"/>
      <c r="L43" s="188"/>
      <c r="M43" s="189"/>
      <c r="N43" s="190"/>
      <c r="O43" s="312"/>
      <c r="P43" s="3"/>
    </row>
    <row r="44" spans="1:16" ht="19.5" customHeight="1" x14ac:dyDescent="0.25">
      <c r="A44" s="289"/>
      <c r="B44" s="237">
        <f t="shared" si="2"/>
        <v>2026</v>
      </c>
      <c r="C44" s="183">
        <f>C3</f>
        <v>2</v>
      </c>
      <c r="D44" s="184">
        <v>711</v>
      </c>
      <c r="E44" s="185"/>
      <c r="F44" s="271"/>
      <c r="G44" s="186"/>
      <c r="H44" s="178"/>
      <c r="I44" s="178"/>
      <c r="J44" s="187"/>
      <c r="K44" s="187"/>
      <c r="L44" s="188"/>
      <c r="M44" s="189"/>
      <c r="N44" s="190"/>
      <c r="O44" s="312"/>
      <c r="P44" s="3"/>
    </row>
    <row r="45" spans="1:16" ht="19.5" customHeight="1" x14ac:dyDescent="0.25">
      <c r="A45" s="289"/>
      <c r="B45" s="191">
        <f t="shared" si="2"/>
        <v>2026</v>
      </c>
      <c r="C45" s="191">
        <f>C3</f>
        <v>2</v>
      </c>
      <c r="D45" s="192">
        <v>716</v>
      </c>
      <c r="E45" s="193"/>
      <c r="F45" s="272"/>
      <c r="G45" s="194"/>
      <c r="H45" s="195"/>
      <c r="I45" s="196"/>
      <c r="J45" s="194"/>
      <c r="K45" s="194"/>
      <c r="L45" s="197"/>
      <c r="M45" s="198"/>
      <c r="N45" s="199"/>
      <c r="O45" s="312"/>
      <c r="P45" s="3"/>
    </row>
    <row r="46" spans="1:16" ht="19.5" customHeight="1" x14ac:dyDescent="0.25">
      <c r="A46" s="289"/>
      <c r="B46" s="237">
        <f t="shared" si="2"/>
        <v>2026</v>
      </c>
      <c r="C46" s="183">
        <f>C3</f>
        <v>2</v>
      </c>
      <c r="D46" s="184">
        <v>718</v>
      </c>
      <c r="E46" s="185"/>
      <c r="F46" s="271"/>
      <c r="G46" s="186"/>
      <c r="H46" s="178"/>
      <c r="I46" s="178"/>
      <c r="J46" s="186"/>
      <c r="K46" s="187"/>
      <c r="L46" s="200"/>
      <c r="M46" s="201"/>
      <c r="N46" s="202"/>
      <c r="O46" s="312"/>
      <c r="P46" s="3"/>
    </row>
    <row r="47" spans="1:16" ht="19.5" customHeight="1" x14ac:dyDescent="0.25">
      <c r="A47" s="289"/>
      <c r="B47" s="237">
        <f t="shared" si="2"/>
        <v>2026</v>
      </c>
      <c r="C47" s="183">
        <f>C3</f>
        <v>2</v>
      </c>
      <c r="D47" s="184">
        <v>719</v>
      </c>
      <c r="E47" s="185"/>
      <c r="F47" s="271"/>
      <c r="G47" s="186"/>
      <c r="H47" s="178"/>
      <c r="I47" s="178"/>
      <c r="J47" s="187"/>
      <c r="K47" s="187"/>
      <c r="L47" s="188"/>
      <c r="M47" s="189"/>
      <c r="N47" s="190"/>
      <c r="O47" s="312"/>
      <c r="P47" s="3"/>
    </row>
    <row r="48" spans="1:16" ht="19.5" customHeight="1" x14ac:dyDescent="0.25">
      <c r="A48" s="289"/>
      <c r="B48" s="237">
        <f t="shared" si="2"/>
        <v>2026</v>
      </c>
      <c r="C48" s="183">
        <f>C3</f>
        <v>2</v>
      </c>
      <c r="D48" s="184">
        <v>720</v>
      </c>
      <c r="E48" s="185"/>
      <c r="F48" s="271"/>
      <c r="G48" s="186"/>
      <c r="H48" s="178"/>
      <c r="I48" s="178"/>
      <c r="J48" s="187"/>
      <c r="K48" s="187"/>
      <c r="L48" s="188"/>
      <c r="M48" s="189"/>
      <c r="N48" s="190"/>
      <c r="O48" s="312"/>
      <c r="P48" s="3"/>
    </row>
    <row r="49" spans="1:16" ht="19.5" customHeight="1" x14ac:dyDescent="0.25">
      <c r="A49" s="289"/>
      <c r="B49" s="237">
        <f t="shared" si="2"/>
        <v>2026</v>
      </c>
      <c r="C49" s="183">
        <f>C3</f>
        <v>2</v>
      </c>
      <c r="D49" s="184">
        <v>723</v>
      </c>
      <c r="E49" s="185"/>
      <c r="F49" s="271"/>
      <c r="G49" s="186"/>
      <c r="H49" s="178"/>
      <c r="I49" s="178"/>
      <c r="J49" s="186"/>
      <c r="K49" s="187"/>
      <c r="L49" s="200"/>
      <c r="M49" s="201"/>
      <c r="N49" s="202"/>
      <c r="O49" s="312"/>
      <c r="P49" s="3"/>
    </row>
    <row r="50" spans="1:16" ht="19.5" customHeight="1" x14ac:dyDescent="0.25">
      <c r="A50" s="289"/>
      <c r="B50" s="237">
        <f t="shared" si="2"/>
        <v>2026</v>
      </c>
      <c r="C50" s="183">
        <f>C3</f>
        <v>2</v>
      </c>
      <c r="D50" s="184">
        <v>724</v>
      </c>
      <c r="E50" s="185"/>
      <c r="F50" s="271"/>
      <c r="G50" s="186"/>
      <c r="H50" s="178"/>
      <c r="I50" s="178"/>
      <c r="J50" s="187"/>
      <c r="K50" s="187"/>
      <c r="L50" s="188"/>
      <c r="M50" s="189"/>
      <c r="N50" s="190"/>
      <c r="O50" s="312"/>
      <c r="P50" s="3"/>
    </row>
    <row r="51" spans="1:16" ht="19.5" customHeight="1" thickBot="1" x14ac:dyDescent="0.3">
      <c r="A51" s="289"/>
      <c r="B51" s="238">
        <f t="shared" si="2"/>
        <v>2026</v>
      </c>
      <c r="C51" s="234">
        <f>C3</f>
        <v>2</v>
      </c>
      <c r="D51" s="203">
        <v>726</v>
      </c>
      <c r="E51" s="204"/>
      <c r="F51" s="273"/>
      <c r="G51" s="205"/>
      <c r="H51" s="206"/>
      <c r="I51" s="178"/>
      <c r="J51" s="207"/>
      <c r="K51" s="207"/>
      <c r="L51" s="208"/>
      <c r="M51" s="209"/>
      <c r="N51" s="210"/>
      <c r="O51" s="313"/>
      <c r="P51" s="3"/>
    </row>
    <row r="52" spans="1:16" ht="19.5" customHeight="1" thickBot="1" x14ac:dyDescent="0.3">
      <c r="A52" s="289"/>
      <c r="B52" s="235">
        <f t="shared" si="2"/>
        <v>2026</v>
      </c>
      <c r="C52" s="18">
        <f>C3</f>
        <v>2</v>
      </c>
      <c r="D52" s="19">
        <v>809</v>
      </c>
      <c r="E52" s="16">
        <v>46113</v>
      </c>
      <c r="F52" s="274">
        <v>5.2</v>
      </c>
      <c r="G52" s="17">
        <v>112</v>
      </c>
      <c r="H52" s="18">
        <v>3</v>
      </c>
      <c r="I52" s="19" t="s">
        <v>22</v>
      </c>
      <c r="J52" s="20">
        <v>8</v>
      </c>
      <c r="K52" s="20" t="s">
        <v>23</v>
      </c>
      <c r="L52" s="21">
        <v>7</v>
      </c>
      <c r="M52" s="22">
        <v>12</v>
      </c>
      <c r="N52" s="23">
        <v>10.3</v>
      </c>
      <c r="O52" s="308" t="s">
        <v>8</v>
      </c>
      <c r="P52" s="3"/>
    </row>
    <row r="53" spans="1:16" ht="19.5" customHeight="1" thickBot="1" x14ac:dyDescent="0.3">
      <c r="A53" s="289"/>
      <c r="B53" s="233">
        <f t="shared" si="2"/>
        <v>2026</v>
      </c>
      <c r="C53" s="26">
        <f>C3</f>
        <v>2</v>
      </c>
      <c r="D53" s="27">
        <v>812</v>
      </c>
      <c r="E53" s="24">
        <v>46111</v>
      </c>
      <c r="F53" s="275">
        <v>6.8</v>
      </c>
      <c r="G53" s="25">
        <v>118</v>
      </c>
      <c r="H53" s="26">
        <v>3</v>
      </c>
      <c r="I53" s="27" t="s">
        <v>24</v>
      </c>
      <c r="J53" s="28"/>
      <c r="K53" s="28" t="s">
        <v>23</v>
      </c>
      <c r="L53" s="29"/>
      <c r="M53" s="30"/>
      <c r="N53" s="31"/>
      <c r="O53" s="308"/>
      <c r="P53" s="3"/>
    </row>
    <row r="54" spans="1:16" ht="19.5" customHeight="1" thickBot="1" x14ac:dyDescent="0.3">
      <c r="A54" s="289"/>
      <c r="B54" s="232">
        <f t="shared" si="2"/>
        <v>2026</v>
      </c>
      <c r="C54" s="34">
        <f>C3</f>
        <v>2</v>
      </c>
      <c r="D54" s="48">
        <v>815</v>
      </c>
      <c r="E54" s="32">
        <v>46111</v>
      </c>
      <c r="F54" s="276">
        <v>3.1</v>
      </c>
      <c r="G54" s="33">
        <v>170</v>
      </c>
      <c r="H54" s="34">
        <v>3</v>
      </c>
      <c r="I54" s="35" t="s">
        <v>24</v>
      </c>
      <c r="J54" s="36"/>
      <c r="K54" s="36" t="s">
        <v>23</v>
      </c>
      <c r="L54" s="37"/>
      <c r="M54" s="38"/>
      <c r="N54" s="39"/>
      <c r="O54" s="308"/>
      <c r="P54" s="3"/>
    </row>
    <row r="55" spans="1:16" ht="19.5" customHeight="1" thickBot="1" x14ac:dyDescent="0.3">
      <c r="A55" s="289"/>
      <c r="B55" s="232">
        <f t="shared" si="2"/>
        <v>2026</v>
      </c>
      <c r="C55" s="34">
        <f>C3</f>
        <v>2</v>
      </c>
      <c r="D55" s="48">
        <v>901</v>
      </c>
      <c r="E55" s="40">
        <v>46113</v>
      </c>
      <c r="F55" s="277">
        <v>3.6</v>
      </c>
      <c r="G55" s="33">
        <v>146</v>
      </c>
      <c r="H55" s="34"/>
      <c r="I55" s="35"/>
      <c r="J55" s="36"/>
      <c r="K55" s="36"/>
      <c r="L55" s="37"/>
      <c r="M55" s="38"/>
      <c r="N55" s="39"/>
      <c r="O55" s="308"/>
      <c r="P55" s="3"/>
    </row>
    <row r="56" spans="1:16" ht="19.5" customHeight="1" thickBot="1" x14ac:dyDescent="0.3">
      <c r="A56" s="289"/>
      <c r="B56" s="232">
        <f t="shared" si="2"/>
        <v>2026</v>
      </c>
      <c r="C56" s="34">
        <f>C3</f>
        <v>2</v>
      </c>
      <c r="D56" s="48">
        <v>902</v>
      </c>
      <c r="E56" s="40">
        <v>46113</v>
      </c>
      <c r="F56" s="277">
        <v>2.9</v>
      </c>
      <c r="G56" s="33">
        <v>178</v>
      </c>
      <c r="H56" s="34"/>
      <c r="I56" s="35"/>
      <c r="J56" s="36"/>
      <c r="K56" s="36"/>
      <c r="L56" s="37"/>
      <c r="M56" s="38"/>
      <c r="N56" s="39"/>
      <c r="O56" s="308"/>
      <c r="P56" s="3"/>
    </row>
    <row r="57" spans="1:16" ht="19.5" customHeight="1" thickBot="1" x14ac:dyDescent="0.3">
      <c r="A57" s="289"/>
      <c r="B57" s="232">
        <f t="shared" si="2"/>
        <v>2026</v>
      </c>
      <c r="C57" s="34">
        <f>C3</f>
        <v>2</v>
      </c>
      <c r="D57" s="48">
        <v>906</v>
      </c>
      <c r="E57" s="40">
        <v>46111</v>
      </c>
      <c r="F57" s="277">
        <v>4.2</v>
      </c>
      <c r="G57" s="33">
        <v>173</v>
      </c>
      <c r="H57" s="34"/>
      <c r="I57" s="35"/>
      <c r="J57" s="36"/>
      <c r="K57" s="36"/>
      <c r="L57" s="37"/>
      <c r="M57" s="38"/>
      <c r="N57" s="39"/>
      <c r="O57" s="308"/>
      <c r="P57" s="3"/>
    </row>
    <row r="58" spans="1:16" ht="19.5" customHeight="1" thickBot="1" x14ac:dyDescent="0.3">
      <c r="A58" s="289"/>
      <c r="B58" s="232">
        <f t="shared" si="2"/>
        <v>2026</v>
      </c>
      <c r="C58" s="34">
        <f>C3</f>
        <v>2</v>
      </c>
      <c r="D58" s="48">
        <v>910</v>
      </c>
      <c r="E58" s="40">
        <v>46111</v>
      </c>
      <c r="F58" s="277">
        <v>4.0999999999999996</v>
      </c>
      <c r="G58" s="33">
        <v>130</v>
      </c>
      <c r="H58" s="34"/>
      <c r="I58" s="35"/>
      <c r="J58" s="36"/>
      <c r="K58" s="36"/>
      <c r="L58" s="37"/>
      <c r="M58" s="38"/>
      <c r="N58" s="39"/>
      <c r="O58" s="308"/>
      <c r="P58" s="3"/>
    </row>
    <row r="59" spans="1:16" ht="19.5" customHeight="1" thickBot="1" x14ac:dyDescent="0.3">
      <c r="A59" s="301"/>
      <c r="B59" s="232">
        <f t="shared" si="2"/>
        <v>2026</v>
      </c>
      <c r="C59" s="34">
        <f>C3</f>
        <v>2</v>
      </c>
      <c r="D59" s="48">
        <v>912</v>
      </c>
      <c r="E59" s="40">
        <v>46111</v>
      </c>
      <c r="F59" s="277">
        <v>4.5999999999999996</v>
      </c>
      <c r="G59" s="33">
        <v>117</v>
      </c>
      <c r="H59" s="34">
        <v>3</v>
      </c>
      <c r="I59" s="35" t="s">
        <v>24</v>
      </c>
      <c r="J59" s="36"/>
      <c r="K59" s="36" t="s">
        <v>23</v>
      </c>
      <c r="L59" s="37"/>
      <c r="M59" s="38"/>
      <c r="N59" s="39"/>
      <c r="O59" s="308"/>
      <c r="P59" s="3"/>
    </row>
    <row r="60" spans="1:16" ht="19.5" customHeight="1" thickBot="1" x14ac:dyDescent="0.3">
      <c r="A60" s="302"/>
      <c r="B60" s="232">
        <f t="shared" si="2"/>
        <v>2026</v>
      </c>
      <c r="C60" s="34">
        <f>C3</f>
        <v>2</v>
      </c>
      <c r="D60" s="48">
        <v>914</v>
      </c>
      <c r="E60" s="40">
        <v>46113</v>
      </c>
      <c r="F60" s="277">
        <v>5.8</v>
      </c>
      <c r="G60" s="33">
        <v>200</v>
      </c>
      <c r="H60" s="34"/>
      <c r="I60" s="35"/>
      <c r="J60" s="36"/>
      <c r="K60" s="36"/>
      <c r="L60" s="37"/>
      <c r="M60" s="38"/>
      <c r="N60" s="39"/>
      <c r="O60" s="308"/>
      <c r="P60" s="3"/>
    </row>
    <row r="61" spans="1:16" ht="19.5" customHeight="1" thickBot="1" x14ac:dyDescent="0.3">
      <c r="A61" s="303"/>
      <c r="B61" s="232">
        <f t="shared" si="2"/>
        <v>2026</v>
      </c>
      <c r="C61" s="34">
        <f>C3</f>
        <v>2</v>
      </c>
      <c r="D61" s="48">
        <v>915</v>
      </c>
      <c r="E61" s="40">
        <v>46113</v>
      </c>
      <c r="F61" s="277">
        <v>2.9</v>
      </c>
      <c r="G61" s="33">
        <v>181</v>
      </c>
      <c r="H61" s="34">
        <v>3</v>
      </c>
      <c r="I61" s="35" t="s">
        <v>22</v>
      </c>
      <c r="J61" s="36">
        <v>1</v>
      </c>
      <c r="K61" s="36" t="s">
        <v>23</v>
      </c>
      <c r="L61" s="37"/>
      <c r="M61" s="38"/>
      <c r="N61" s="39"/>
      <c r="O61" s="308"/>
      <c r="P61" s="3"/>
    </row>
    <row r="62" spans="1:16" ht="19.5" customHeight="1" thickBot="1" x14ac:dyDescent="0.3">
      <c r="A62" s="214"/>
      <c r="B62" s="243">
        <f t="shared" si="2"/>
        <v>2026</v>
      </c>
      <c r="C62" s="244">
        <f>C3</f>
        <v>2</v>
      </c>
      <c r="D62" s="245">
        <v>918</v>
      </c>
      <c r="E62" s="246"/>
      <c r="F62" s="278"/>
      <c r="G62" s="247"/>
      <c r="H62" s="244"/>
      <c r="I62" s="248" t="s">
        <v>25</v>
      </c>
      <c r="J62" s="249"/>
      <c r="K62" s="249"/>
      <c r="L62" s="250"/>
      <c r="M62" s="251"/>
      <c r="N62" s="252"/>
      <c r="O62" s="308"/>
      <c r="P62" s="3"/>
    </row>
    <row r="63" spans="1:16" ht="19.5" customHeight="1" thickBot="1" x14ac:dyDescent="0.3">
      <c r="A63" s="213"/>
      <c r="B63" s="236">
        <f t="shared" si="2"/>
        <v>2026</v>
      </c>
      <c r="C63" s="43">
        <f>C3</f>
        <v>2</v>
      </c>
      <c r="D63" s="49">
        <v>919</v>
      </c>
      <c r="E63" s="41">
        <v>46111</v>
      </c>
      <c r="F63" s="279">
        <v>7.5</v>
      </c>
      <c r="G63" s="42">
        <v>200</v>
      </c>
      <c r="H63" s="43">
        <v>3</v>
      </c>
      <c r="I63" s="35" t="s">
        <v>24</v>
      </c>
      <c r="J63" s="44"/>
      <c r="K63" s="44" t="s">
        <v>23</v>
      </c>
      <c r="L63" s="45"/>
      <c r="M63" s="46"/>
      <c r="N63" s="47"/>
      <c r="O63" s="308"/>
      <c r="P63" s="6"/>
    </row>
    <row r="64" spans="1:16" ht="19.5" customHeight="1" x14ac:dyDescent="0.3">
      <c r="A64" s="213"/>
      <c r="B64" s="211" t="s">
        <v>21</v>
      </c>
      <c r="C64" s="212"/>
      <c r="D64" s="212"/>
      <c r="E64"/>
      <c r="F64"/>
      <c r="G64"/>
      <c r="H64"/>
      <c r="I64"/>
      <c r="J64"/>
      <c r="K64"/>
      <c r="L64"/>
      <c r="M64"/>
      <c r="N64"/>
      <c r="O64"/>
      <c r="P64"/>
    </row>
    <row r="65" spans="1:16" ht="19.5" customHeight="1" x14ac:dyDescent="0.3">
      <c r="A65" s="213"/>
      <c r="B65" s="211" t="s">
        <v>20</v>
      </c>
      <c r="C65" s="213"/>
      <c r="D65" s="213"/>
      <c r="E65"/>
      <c r="F65"/>
      <c r="G65"/>
      <c r="H65"/>
      <c r="I65"/>
      <c r="J65"/>
      <c r="K65"/>
      <c r="L65"/>
      <c r="M65"/>
      <c r="N65"/>
      <c r="O65"/>
      <c r="P65"/>
    </row>
    <row r="66" spans="1:16" ht="19.5" customHeight="1" x14ac:dyDescent="0.3">
      <c r="A66" s="213"/>
      <c r="B66" s="211" t="s">
        <v>19</v>
      </c>
      <c r="C66" s="213"/>
      <c r="D66" s="213"/>
      <c r="E66"/>
      <c r="F66"/>
      <c r="G66"/>
      <c r="H66"/>
      <c r="I66"/>
      <c r="J66"/>
      <c r="K66"/>
      <c r="L66"/>
      <c r="M66"/>
      <c r="N66"/>
      <c r="O66"/>
      <c r="P66"/>
    </row>
    <row r="67" spans="1:16" ht="15" customHeight="1" x14ac:dyDescent="0.25">
      <c r="A67" s="213"/>
      <c r="B67" s="215" t="s">
        <v>31</v>
      </c>
      <c r="C67" s="14"/>
      <c r="D67" s="14"/>
      <c r="E67"/>
      <c r="F67"/>
      <c r="G67"/>
      <c r="H67"/>
      <c r="I67"/>
      <c r="J67"/>
      <c r="K67"/>
      <c r="L67"/>
      <c r="M67"/>
      <c r="N67"/>
      <c r="O67"/>
      <c r="P67"/>
    </row>
    <row r="68" spans="1:16" ht="15" customHeight="1" x14ac:dyDescent="0.25">
      <c r="A68" s="12"/>
      <c r="B68" s="12"/>
      <c r="C68" s="12"/>
      <c r="D68" s="12"/>
      <c r="E68"/>
      <c r="F68"/>
      <c r="G68"/>
      <c r="H68"/>
      <c r="I68"/>
      <c r="J68"/>
      <c r="K68"/>
      <c r="L68"/>
      <c r="M68"/>
      <c r="N68"/>
      <c r="O68"/>
      <c r="P68"/>
    </row>
    <row r="69" spans="1:16" ht="15" customHeight="1" x14ac:dyDescent="0.25">
      <c r="E69"/>
      <c r="F69"/>
      <c r="G69"/>
      <c r="H69"/>
      <c r="I69"/>
      <c r="J69"/>
      <c r="K69"/>
      <c r="L69"/>
      <c r="M69"/>
      <c r="N69"/>
      <c r="O69"/>
      <c r="P69"/>
    </row>
    <row r="70" spans="1:16" ht="15" customHeight="1" x14ac:dyDescent="0.25">
      <c r="E70"/>
      <c r="F70"/>
      <c r="G70"/>
      <c r="H70"/>
      <c r="I70"/>
      <c r="J70"/>
      <c r="K70"/>
      <c r="L70"/>
      <c r="M70"/>
      <c r="N70"/>
      <c r="O70"/>
      <c r="P70"/>
    </row>
    <row r="71" spans="1:16" ht="15" customHeight="1" x14ac:dyDescent="0.25">
      <c r="E71"/>
      <c r="F71"/>
      <c r="G71"/>
      <c r="H71"/>
      <c r="I71"/>
      <c r="J71"/>
      <c r="K71"/>
      <c r="L71"/>
      <c r="M71"/>
      <c r="N71"/>
      <c r="O71"/>
      <c r="P71"/>
    </row>
    <row r="72" spans="1:16" ht="15" customHeight="1" x14ac:dyDescent="0.25">
      <c r="E72"/>
      <c r="F72"/>
      <c r="G72"/>
      <c r="H72"/>
      <c r="I72"/>
      <c r="J72"/>
      <c r="K72"/>
      <c r="L72"/>
      <c r="M72"/>
      <c r="N72"/>
      <c r="O72"/>
      <c r="P72"/>
    </row>
    <row r="73" spans="1:16" ht="15" customHeight="1" x14ac:dyDescent="0.25">
      <c r="E73"/>
      <c r="F73"/>
      <c r="G73"/>
      <c r="H73"/>
      <c r="I73"/>
      <c r="J73"/>
      <c r="K73"/>
      <c r="L73"/>
      <c r="M73"/>
      <c r="N73"/>
      <c r="O73"/>
      <c r="P73"/>
    </row>
    <row r="74" spans="1:16" ht="15" customHeight="1" x14ac:dyDescent="0.25">
      <c r="E74"/>
      <c r="F74"/>
      <c r="G74"/>
      <c r="H74"/>
      <c r="I74"/>
      <c r="J74"/>
      <c r="K74"/>
      <c r="L74"/>
      <c r="M74"/>
      <c r="N74"/>
      <c r="O74"/>
      <c r="P74"/>
    </row>
    <row r="75" spans="1:16" ht="15" customHeight="1" x14ac:dyDescent="0.25">
      <c r="E75"/>
      <c r="F75"/>
      <c r="G75"/>
      <c r="H75"/>
      <c r="I75"/>
      <c r="J75"/>
      <c r="K75"/>
      <c r="L75"/>
      <c r="M75"/>
      <c r="N75"/>
      <c r="O75"/>
      <c r="P75"/>
    </row>
    <row r="76" spans="1:16" ht="13.2" x14ac:dyDescent="0.25">
      <c r="E76"/>
      <c r="F76"/>
      <c r="G76"/>
      <c r="H76"/>
      <c r="I76"/>
      <c r="J76"/>
      <c r="K76"/>
      <c r="L76"/>
      <c r="M76"/>
      <c r="N76"/>
      <c r="O76"/>
      <c r="P76"/>
    </row>
    <row r="77" spans="1:16" ht="13.2" x14ac:dyDescent="0.25">
      <c r="E77"/>
      <c r="F77"/>
      <c r="G77"/>
      <c r="H77"/>
      <c r="I77"/>
      <c r="J77"/>
      <c r="K77"/>
      <c r="L77"/>
      <c r="M77"/>
      <c r="N77"/>
      <c r="O77"/>
      <c r="P77"/>
    </row>
    <row r="78" spans="1:16" ht="13.2" x14ac:dyDescent="0.25">
      <c r="E78"/>
      <c r="F78"/>
      <c r="G78"/>
      <c r="H78"/>
      <c r="I78"/>
      <c r="J78"/>
      <c r="K78"/>
      <c r="L78"/>
      <c r="M78"/>
      <c r="N78"/>
      <c r="O78"/>
      <c r="P78"/>
    </row>
    <row r="79" spans="1:16" ht="13.2" x14ac:dyDescent="0.25">
      <c r="E79"/>
      <c r="F79"/>
      <c r="G79"/>
      <c r="H79"/>
      <c r="I79"/>
      <c r="J79"/>
      <c r="K79"/>
      <c r="L79"/>
      <c r="M79"/>
      <c r="N79"/>
      <c r="O79"/>
      <c r="P79"/>
    </row>
    <row r="80" spans="1:16" ht="13.2" x14ac:dyDescent="0.25">
      <c r="E80"/>
      <c r="F80"/>
      <c r="G80"/>
      <c r="H80"/>
      <c r="I80"/>
      <c r="J80"/>
      <c r="K80"/>
      <c r="L80"/>
      <c r="M80"/>
      <c r="N80"/>
      <c r="O80"/>
      <c r="P80"/>
    </row>
    <row r="81" spans="5:16" ht="13.2" x14ac:dyDescent="0.25">
      <c r="E81"/>
      <c r="F81"/>
      <c r="G81"/>
      <c r="H81"/>
      <c r="I81"/>
      <c r="J81"/>
      <c r="K81"/>
      <c r="L81"/>
      <c r="M81"/>
      <c r="N81"/>
      <c r="O81"/>
      <c r="P81"/>
    </row>
    <row r="82" spans="5:16" ht="13.2" x14ac:dyDescent="0.25">
      <c r="E82"/>
      <c r="F82"/>
      <c r="G82"/>
      <c r="H82"/>
      <c r="I82"/>
      <c r="J82"/>
      <c r="K82"/>
      <c r="L82"/>
      <c r="M82"/>
      <c r="N82"/>
      <c r="O82"/>
      <c r="P82"/>
    </row>
    <row r="83" spans="5:16" ht="13.2" x14ac:dyDescent="0.25">
      <c r="E83"/>
      <c r="F83"/>
      <c r="G83"/>
      <c r="H83"/>
      <c r="I83"/>
      <c r="J83"/>
      <c r="K83"/>
      <c r="L83"/>
      <c r="M83"/>
      <c r="N83"/>
      <c r="O83"/>
      <c r="P83"/>
    </row>
    <row r="84" spans="5:16" ht="13.2" x14ac:dyDescent="0.25">
      <c r="E84"/>
      <c r="F84"/>
      <c r="G84"/>
      <c r="H84"/>
      <c r="I84"/>
      <c r="J84"/>
      <c r="K84"/>
      <c r="L84"/>
      <c r="M84"/>
      <c r="N84"/>
      <c r="O84"/>
      <c r="P84"/>
    </row>
    <row r="85" spans="5:16" ht="13.2" x14ac:dyDescent="0.25">
      <c r="E85"/>
      <c r="F85"/>
      <c r="G85"/>
      <c r="H85"/>
      <c r="I85"/>
      <c r="J85"/>
      <c r="K85"/>
      <c r="L85"/>
      <c r="M85"/>
      <c r="N85"/>
      <c r="O85"/>
      <c r="P85"/>
    </row>
    <row r="87" spans="5:16" ht="13.2" x14ac:dyDescent="0.25">
      <c r="I87" s="4"/>
      <c r="N87" s="4"/>
      <c r="O87" s="4"/>
    </row>
    <row r="88" spans="5:16" ht="13.2" x14ac:dyDescent="0.25">
      <c r="I88" s="4"/>
      <c r="N88" s="4"/>
      <c r="O88" s="4"/>
    </row>
    <row r="89" spans="5:16" ht="13.2" x14ac:dyDescent="0.25">
      <c r="I89" s="4"/>
      <c r="N89" s="4"/>
      <c r="O89" s="4"/>
    </row>
    <row r="90" spans="5:16" ht="13.2" x14ac:dyDescent="0.25">
      <c r="I90" s="4"/>
      <c r="N90" s="4"/>
      <c r="O90" s="4"/>
    </row>
    <row r="91" spans="5:16" ht="13.2" x14ac:dyDescent="0.25">
      <c r="I91" s="4"/>
      <c r="N91" s="4"/>
      <c r="O91" s="4"/>
    </row>
    <row r="92" spans="5:16" ht="13.2" x14ac:dyDescent="0.25">
      <c r="I92" s="4"/>
      <c r="N92" s="4"/>
      <c r="O92" s="4"/>
    </row>
    <row r="93" spans="5:16" ht="13.2" x14ac:dyDescent="0.25">
      <c r="I93" s="4"/>
      <c r="N93" s="4"/>
      <c r="O93" s="4"/>
    </row>
    <row r="94" spans="5:16" ht="13.2" x14ac:dyDescent="0.25">
      <c r="I94" s="4"/>
      <c r="N94" s="4"/>
      <c r="O94" s="4"/>
    </row>
    <row r="95" spans="5:16" ht="13.2" x14ac:dyDescent="0.25">
      <c r="I95" s="4"/>
      <c r="N95" s="4"/>
      <c r="O95" s="4"/>
    </row>
    <row r="96" spans="5:16" ht="13.2" x14ac:dyDescent="0.25">
      <c r="I96" s="4"/>
      <c r="N96" s="4"/>
      <c r="O96" s="4"/>
    </row>
    <row r="97" s="4" customFormat="1" ht="13.2" x14ac:dyDescent="0.25"/>
    <row r="98" s="4" customFormat="1" ht="13.2" x14ac:dyDescent="0.25"/>
    <row r="99" s="4" customFormat="1" ht="13.2" x14ac:dyDescent="0.25"/>
    <row r="100" s="4" customFormat="1" ht="13.2" x14ac:dyDescent="0.25"/>
    <row r="101" s="4" customFormat="1" ht="13.2" x14ac:dyDescent="0.25"/>
    <row r="102" s="4" customFormat="1" ht="13.2" x14ac:dyDescent="0.25"/>
    <row r="103" s="4" customFormat="1" ht="13.2" x14ac:dyDescent="0.25"/>
    <row r="104" s="4" customFormat="1" ht="13.2" x14ac:dyDescent="0.25"/>
    <row r="105" s="4" customFormat="1" ht="13.2" x14ac:dyDescent="0.25"/>
    <row r="106" s="4" customFormat="1" ht="13.2" x14ac:dyDescent="0.25"/>
    <row r="107" s="4" customFormat="1" ht="13.2" x14ac:dyDescent="0.25"/>
    <row r="108" s="4" customFormat="1" ht="13.2" x14ac:dyDescent="0.25"/>
    <row r="109" s="4" customFormat="1" ht="13.2" x14ac:dyDescent="0.25"/>
    <row r="110" s="4" customFormat="1" ht="13.2" x14ac:dyDescent="0.25"/>
  </sheetData>
  <mergeCells count="7">
    <mergeCell ref="O52:O63"/>
    <mergeCell ref="O3:O15"/>
    <mergeCell ref="O16:O21"/>
    <mergeCell ref="O22:O24"/>
    <mergeCell ref="O25:O33"/>
    <mergeCell ref="O34:O38"/>
    <mergeCell ref="O39:O51"/>
  </mergeCells>
  <dataValidations count="2">
    <dataValidation type="list" allowBlank="1" showInputMessage="1" showErrorMessage="1" sqref="I3:I63" xr:uid="{73A7816C-4861-4BD7-BB93-C208124D6DA3}">
      <formula1>"Not Processed, No Smelt Catch, Not Sampled, Longfin Smelt, Delta Smelt"</formula1>
    </dataValidation>
    <dataValidation type="list" allowBlank="1" showInputMessage="1" showErrorMessage="1" sqref="K3:K63" xr:uid="{C92FF334-6A7A-4137-B297-E64B885C9D2F}">
      <formula1>"Preliminary, Complete"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749D-BFA7-4DBF-8E96-A05CB19553F6}">
  <dimension ref="A1:K2"/>
  <sheetViews>
    <sheetView workbookViewId="0">
      <selection activeCell="I38" sqref="I38"/>
    </sheetView>
  </sheetViews>
  <sheetFormatPr defaultColWidth="9.109375" defaultRowHeight="13.2" x14ac:dyDescent="0.25"/>
  <cols>
    <col min="1" max="16384" width="9.109375" style="280"/>
  </cols>
  <sheetData>
    <row r="1" spans="1:11" x14ac:dyDescent="0.25">
      <c r="A1" s="314" t="s">
        <v>27</v>
      </c>
      <c r="B1" s="315"/>
      <c r="C1" s="315"/>
      <c r="D1" s="315"/>
      <c r="E1" s="315"/>
      <c r="F1" s="315"/>
      <c r="G1" s="315"/>
      <c r="H1" s="315"/>
      <c r="I1" s="315"/>
      <c r="J1" s="315"/>
      <c r="K1" s="315"/>
    </row>
    <row r="2" spans="1:11" x14ac:dyDescent="0.25">
      <c r="A2" s="315"/>
      <c r="B2" s="315"/>
      <c r="C2" s="315"/>
      <c r="D2" s="315"/>
      <c r="E2" s="315"/>
      <c r="F2" s="315"/>
      <c r="G2" s="315"/>
      <c r="H2" s="315"/>
      <c r="I2" s="315"/>
      <c r="J2" s="315"/>
      <c r="K2" s="315"/>
    </row>
  </sheetData>
  <mergeCells count="1">
    <mergeCell ref="A1:K2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 1</vt:lpstr>
      <vt:lpstr>Survey 2</vt:lpstr>
      <vt:lpstr>20-mm 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Adib-Samii, Julio@Wildlife</dc:creator>
  <cp:lastModifiedBy>McCormick, Lillian R</cp:lastModifiedBy>
  <cp:lastPrinted>2024-05-30T00:07:14Z</cp:lastPrinted>
  <dcterms:created xsi:type="dcterms:W3CDTF">2010-03-26T20:15:02Z</dcterms:created>
  <dcterms:modified xsi:type="dcterms:W3CDTF">2026-04-13T17:26:16Z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ensitivity">
    <vt:lpwstr>General</vt:lpwstr>
  </property>
</Properties>
</file>