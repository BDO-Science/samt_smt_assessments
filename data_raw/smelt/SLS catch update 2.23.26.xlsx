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13" documentId="8_{0BBBAF70-6E18-47F1-9CA1-2EA0D7DB2607}" xr6:coauthVersionLast="47" xr6:coauthVersionMax="47" xr10:uidLastSave="{F6201AFC-4888-4440-AB61-9857199E9EFC}"/>
  <bookViews>
    <workbookView xWindow="15780" yWindow="-12900" windowWidth="23040" windowHeight="12120" activeTab="1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LS Map" sheetId="32" r:id="rId7"/>
  </sheets>
  <externalReferences>
    <externalReference r:id="rId8"/>
  </externalReference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9" l="1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C61" i="28"/>
  <c r="C60" i="28"/>
  <c r="C59" i="28"/>
  <c r="C58" i="28"/>
  <c r="C57" i="28"/>
  <c r="C56" i="28"/>
  <c r="C55" i="28"/>
  <c r="C54" i="28"/>
  <c r="C53" i="28"/>
  <c r="C52" i="28"/>
  <c r="C51" i="28"/>
  <c r="B51" i="28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19" i="28"/>
  <c r="C18" i="28"/>
  <c r="C17" i="28"/>
  <c r="C16" i="28"/>
  <c r="C4" i="28"/>
  <c r="C5" i="28" s="1"/>
  <c r="B3" i="28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C6" i="29" l="1"/>
  <c r="C23" i="29"/>
  <c r="C20" i="29"/>
  <c r="C6" i="28"/>
  <c r="C23" i="28"/>
  <c r="C20" i="28"/>
  <c r="C17" i="27"/>
  <c r="C18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3" i="25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C4" i="24"/>
  <c r="C19" i="24" s="1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4" i="29" l="1"/>
  <c r="C21" i="29"/>
  <c r="C7" i="29"/>
  <c r="C24" i="28"/>
  <c r="C7" i="28"/>
  <c r="C21" i="28"/>
  <c r="C23" i="27"/>
  <c r="C19" i="27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C5" i="24"/>
  <c r="C22" i="29" l="1"/>
  <c r="C8" i="29"/>
  <c r="C9" i="29" s="1"/>
  <c r="C10" i="29" s="1"/>
  <c r="C11" i="29" s="1"/>
  <c r="C12" i="29" s="1"/>
  <c r="C13" i="29" s="1"/>
  <c r="C14" i="29" s="1"/>
  <c r="C15" i="29" s="1"/>
  <c r="C22" i="28"/>
  <c r="C8" i="28"/>
  <c r="C9" i="28" s="1"/>
  <c r="C10" i="28" s="1"/>
  <c r="C11" i="28" s="1"/>
  <c r="C12" i="28" s="1"/>
  <c r="C13" i="28" s="1"/>
  <c r="C14" i="28" s="1"/>
  <c r="C15" i="28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<sst xmlns="http://schemas.openxmlformats.org/spreadsheetml/2006/main" count="1095" uniqueCount="39">
  <si>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</si>
  <si>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</si>
  <si>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</si>
  <si>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</si>
  <si>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</si>
  <si>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</si>
  <si>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</si>
  <si>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</si>
  <si>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</si>
  <si>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</si>
  <si>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</si>
  <si>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</si>
  <si>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Napa River</t>
  </si>
  <si>
    <t>Confluence</t>
  </si>
  <si>
    <t>Processed</t>
  </si>
  <si>
    <t>No Smelt Catch</t>
  </si>
  <si>
    <t>Completed</t>
  </si>
  <si>
    <t>Not Processed</t>
  </si>
  <si>
    <t>Processing is complete through 12/8/2025</t>
  </si>
  <si>
    <t xml:space="preserve">Longfin Smelt 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</si>
  <si>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</si>
  <si>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</si>
  <si>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</si>
  <si>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</si>
  <si>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</si>
  <si>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</si>
  <si>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</si>
  <si>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</si>
  <si>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</si>
  <si>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</si>
  <si>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</si>
  <si>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</si>
  <si>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</si>
  <si>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</si>
  <si>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</si>
  <si>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</si>
  <si>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</si>
  <si>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CDFW’s 2026 Smelt Larva Survey station locations.</t>
  </si>
  <si>
    <t>Processing is complete through 2/23/26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</si>
</sst>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m\-yy"/>
    <numFmt numFmtId="166" formatCode="m/d/yy;@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sz val="12"/>
      <color indexed="8"/>
      <name val="Arial"/>
      <family val="2"/>
    </font>
    <font>
      <sz val="2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</cellStyleXfs>
  <cellXfs count="357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164" fontId="6" fillId="5" borderId="0" xfId="2" applyNumberFormat="1" applyFont="1" applyFill="1" applyAlignment="1">
      <alignment horizont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1" fillId="5" borderId="7" xfId="2" applyFill="1" applyBorder="1" applyAlignment="1">
      <alignment horizontal="center"/>
    </xf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</cellXfs>
  <cellStyles count="5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SLS%20Catch%20Summaries\2026\SLS%20catch%20update.xlsx" TargetMode="External"/><Relationship Id="rId1" Type="http://schemas.openxmlformats.org/officeDocument/2006/relationships/externalLinkPath" Target="SLS%20catch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2"/>
      <sheetName val="Survey 13 "/>
      <sheetName val="Survey 1"/>
      <sheetName val="Survey 2"/>
      <sheetName val="Survey 3"/>
      <sheetName val="Survey 4 "/>
      <sheetName val="Survey 5"/>
      <sheetName val="Survey 6"/>
    </sheetNames>
    <sheetDataSet>
      <sheetData sheetId="0">
        <row r="3">
          <cell r="B3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2"/>
  <sheetViews>
    <sheetView topLeftCell="A63" workbookViewId="0">
      <selection activeCell="K73" sqref="K73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.109375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31</v>
      </c>
      <c r="D2" s="38" t="s">
        <v>32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v>2026</v>
      </c>
      <c r="C3" s="43">
        <v>12</v>
      </c>
      <c r="D3" s="43">
        <v>306</v>
      </c>
      <c r="E3" s="44">
        <v>45993</v>
      </c>
      <c r="F3" s="322">
        <v>6.5</v>
      </c>
      <c r="G3" s="45">
        <v>71</v>
      </c>
      <c r="H3" s="43" t="s">
        <v>14</v>
      </c>
      <c r="I3" s="46" t="s">
        <v>15</v>
      </c>
      <c r="J3" s="45"/>
      <c r="K3" s="43" t="s">
        <v>16</v>
      </c>
      <c r="L3" s="43"/>
      <c r="M3" s="47"/>
      <c r="N3" s="48"/>
      <c r="O3" s="49"/>
      <c r="P3" s="346" t="s">
        <v>33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12</v>
      </c>
      <c r="D4" s="52">
        <v>308</v>
      </c>
      <c r="E4" s="53">
        <v>45993</v>
      </c>
      <c r="F4" s="58">
        <v>13.4</v>
      </c>
      <c r="G4" s="54">
        <v>70</v>
      </c>
      <c r="H4" s="55" t="s">
        <v>14</v>
      </c>
      <c r="I4" s="56" t="s">
        <v>15</v>
      </c>
      <c r="J4" s="54"/>
      <c r="K4" s="52" t="s">
        <v>16</v>
      </c>
      <c r="L4" s="52"/>
      <c r="M4" s="57"/>
      <c r="N4" s="58"/>
      <c r="O4" s="59"/>
      <c r="P4" s="346"/>
      <c r="Q4" s="13"/>
    </row>
    <row r="5" spans="1:17" ht="19.5" customHeight="1" thickBot="1" x14ac:dyDescent="0.35">
      <c r="A5" s="37"/>
      <c r="B5" s="50">
        <f t="shared" ref="B5:B14" si="0">B4</f>
        <v>2026</v>
      </c>
      <c r="C5" s="51">
        <f t="shared" ref="C5:C15" si="1">C4</f>
        <v>12</v>
      </c>
      <c r="D5" s="50">
        <v>311</v>
      </c>
      <c r="E5" s="60">
        <v>45993</v>
      </c>
      <c r="F5" s="65">
        <v>7.4</v>
      </c>
      <c r="G5" s="61">
        <v>80</v>
      </c>
      <c r="H5" s="62" t="s">
        <v>14</v>
      </c>
      <c r="I5" s="63" t="s">
        <v>15</v>
      </c>
      <c r="J5" s="61"/>
      <c r="K5" s="50" t="s">
        <v>16</v>
      </c>
      <c r="L5" s="50"/>
      <c r="M5" s="64"/>
      <c r="N5" s="65"/>
      <c r="O5" s="66"/>
      <c r="P5" s="346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1"/>
        <v>12</v>
      </c>
      <c r="D6" s="50">
        <v>315</v>
      </c>
      <c r="E6" s="60">
        <v>45993</v>
      </c>
      <c r="F6" s="65">
        <v>13.3</v>
      </c>
      <c r="G6" s="61">
        <v>47</v>
      </c>
      <c r="H6" s="62" t="s">
        <v>14</v>
      </c>
      <c r="I6" s="63" t="s">
        <v>15</v>
      </c>
      <c r="J6" s="61"/>
      <c r="K6" s="50" t="s">
        <v>16</v>
      </c>
      <c r="L6" s="50"/>
      <c r="M6" s="64"/>
      <c r="N6" s="65"/>
      <c r="O6" s="66"/>
      <c r="P6" s="346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1"/>
        <v>12</v>
      </c>
      <c r="D7" s="50">
        <v>322</v>
      </c>
      <c r="E7" s="60">
        <v>45993</v>
      </c>
      <c r="F7" s="65">
        <v>7.4</v>
      </c>
      <c r="G7" s="61">
        <v>70</v>
      </c>
      <c r="H7" s="62" t="s">
        <v>14</v>
      </c>
      <c r="I7" s="63" t="s">
        <v>15</v>
      </c>
      <c r="J7" s="61"/>
      <c r="K7" s="50" t="s">
        <v>16</v>
      </c>
      <c r="L7" s="50"/>
      <c r="M7" s="64"/>
      <c r="N7" s="65"/>
      <c r="O7" s="66"/>
      <c r="P7" s="346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1"/>
        <v>12</v>
      </c>
      <c r="D8" s="50">
        <v>323</v>
      </c>
      <c r="E8" s="60">
        <v>45993</v>
      </c>
      <c r="F8" s="65">
        <v>6.6</v>
      </c>
      <c r="G8" s="61">
        <v>80</v>
      </c>
      <c r="H8" s="62" t="s">
        <v>14</v>
      </c>
      <c r="I8" s="63" t="s">
        <v>15</v>
      </c>
      <c r="J8" s="61"/>
      <c r="K8" s="50" t="s">
        <v>16</v>
      </c>
      <c r="L8" s="50"/>
      <c r="M8" s="64"/>
      <c r="N8" s="65"/>
      <c r="O8" s="66"/>
      <c r="P8" s="346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1"/>
        <v>12</v>
      </c>
      <c r="D9" s="50">
        <v>327</v>
      </c>
      <c r="E9" s="60">
        <v>45993</v>
      </c>
      <c r="F9" s="65">
        <v>14</v>
      </c>
      <c r="G9" s="61">
        <v>50</v>
      </c>
      <c r="H9" s="62" t="s">
        <v>14</v>
      </c>
      <c r="I9" s="63" t="s">
        <v>15</v>
      </c>
      <c r="J9" s="61"/>
      <c r="K9" s="50" t="s">
        <v>16</v>
      </c>
      <c r="L9" s="50"/>
      <c r="M9" s="64"/>
      <c r="N9" s="65"/>
      <c r="O9" s="66"/>
      <c r="P9" s="346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1"/>
        <v>12</v>
      </c>
      <c r="D10" s="50">
        <v>328</v>
      </c>
      <c r="E10" s="60">
        <v>45993</v>
      </c>
      <c r="F10" s="65">
        <v>17.7</v>
      </c>
      <c r="G10" s="61">
        <v>40</v>
      </c>
      <c r="H10" s="62" t="s">
        <v>14</v>
      </c>
      <c r="I10" s="63" t="s">
        <v>15</v>
      </c>
      <c r="J10" s="61"/>
      <c r="K10" s="50" t="s">
        <v>16</v>
      </c>
      <c r="L10" s="50"/>
      <c r="M10" s="64"/>
      <c r="N10" s="65"/>
      <c r="O10" s="66"/>
      <c r="P10" s="346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1"/>
        <v>12</v>
      </c>
      <c r="D11" s="50">
        <v>329</v>
      </c>
      <c r="E11" s="60">
        <v>45993</v>
      </c>
      <c r="F11" s="65">
        <v>4.3</v>
      </c>
      <c r="G11" s="61">
        <v>80</v>
      </c>
      <c r="H11" s="62" t="s">
        <v>14</v>
      </c>
      <c r="I11" s="63" t="s">
        <v>15</v>
      </c>
      <c r="J11" s="61"/>
      <c r="K11" s="50" t="s">
        <v>16</v>
      </c>
      <c r="L11" s="50"/>
      <c r="M11" s="64"/>
      <c r="N11" s="65"/>
      <c r="O11" s="66"/>
      <c r="P11" s="346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1"/>
        <v>12</v>
      </c>
      <c r="D12" s="50">
        <v>330</v>
      </c>
      <c r="E12" s="60">
        <v>45993</v>
      </c>
      <c r="F12" s="65">
        <v>8.6</v>
      </c>
      <c r="G12" s="61">
        <v>62</v>
      </c>
      <c r="H12" s="62" t="s">
        <v>14</v>
      </c>
      <c r="I12" s="63" t="s">
        <v>15</v>
      </c>
      <c r="J12" s="61"/>
      <c r="K12" s="50" t="s">
        <v>16</v>
      </c>
      <c r="L12" s="50"/>
      <c r="M12" s="64"/>
      <c r="N12" s="65"/>
      <c r="O12" s="66"/>
      <c r="P12" s="346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1"/>
        <v>12</v>
      </c>
      <c r="D13" s="50">
        <v>335</v>
      </c>
      <c r="E13" s="60">
        <v>45993</v>
      </c>
      <c r="F13" s="65">
        <v>3.7</v>
      </c>
      <c r="G13" s="61">
        <v>110</v>
      </c>
      <c r="H13" s="62" t="s">
        <v>14</v>
      </c>
      <c r="I13" s="63" t="s">
        <v>15</v>
      </c>
      <c r="J13" s="61"/>
      <c r="K13" s="50" t="s">
        <v>16</v>
      </c>
      <c r="L13" s="50"/>
      <c r="M13" s="64"/>
      <c r="N13" s="65"/>
      <c r="O13" s="66"/>
      <c r="P13" s="346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1"/>
        <v>12</v>
      </c>
      <c r="D14" s="50">
        <v>336</v>
      </c>
      <c r="E14" s="60">
        <v>45993</v>
      </c>
      <c r="F14" s="65">
        <v>6.2</v>
      </c>
      <c r="G14" s="61">
        <v>70</v>
      </c>
      <c r="H14" s="62" t="s">
        <v>14</v>
      </c>
      <c r="I14" s="63" t="s">
        <v>15</v>
      </c>
      <c r="J14" s="61"/>
      <c r="K14" s="50" t="s">
        <v>16</v>
      </c>
      <c r="L14" s="50"/>
      <c r="M14" s="64"/>
      <c r="N14" s="65"/>
      <c r="O14" s="66"/>
      <c r="P14" s="346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1"/>
        <v>12</v>
      </c>
      <c r="D15" s="67">
        <v>338</v>
      </c>
      <c r="E15" s="68">
        <v>45992</v>
      </c>
      <c r="F15" s="72">
        <v>10.5</v>
      </c>
      <c r="G15" s="69">
        <v>56</v>
      </c>
      <c r="H15" s="62" t="s">
        <v>14</v>
      </c>
      <c r="I15" s="70" t="s">
        <v>15</v>
      </c>
      <c r="J15" s="69"/>
      <c r="K15" s="67" t="s">
        <v>16</v>
      </c>
      <c r="L15" s="67"/>
      <c r="M15" s="71"/>
      <c r="N15" s="72"/>
      <c r="O15" s="73"/>
      <c r="P15" s="346"/>
      <c r="Q15" s="13"/>
    </row>
    <row r="16" spans="1:17" ht="19.5" customHeight="1" x14ac:dyDescent="0.3">
      <c r="A16" s="37"/>
      <c r="B16" s="74">
        <f>B15</f>
        <v>2026</v>
      </c>
      <c r="C16" s="75">
        <f>C3</f>
        <v>12</v>
      </c>
      <c r="D16" s="74">
        <v>340</v>
      </c>
      <c r="E16" s="76">
        <v>45992</v>
      </c>
      <c r="F16" s="323">
        <v>17.600000000000001</v>
      </c>
      <c r="G16" s="77">
        <v>50</v>
      </c>
      <c r="H16" s="74" t="s">
        <v>14</v>
      </c>
      <c r="I16" s="78" t="s">
        <v>15</v>
      </c>
      <c r="J16" s="78"/>
      <c r="K16" s="74" t="s">
        <v>16</v>
      </c>
      <c r="L16" s="74"/>
      <c r="M16" s="79"/>
      <c r="N16" s="80"/>
      <c r="O16" s="81"/>
      <c r="P16" s="347" t="s">
        <v>12</v>
      </c>
      <c r="Q16" s="13"/>
    </row>
    <row r="17" spans="1:17" ht="19.5" customHeight="1" x14ac:dyDescent="0.3">
      <c r="A17" s="37"/>
      <c r="B17" s="82">
        <f>B16</f>
        <v>2026</v>
      </c>
      <c r="C17" s="82">
        <f>C3</f>
        <v>12</v>
      </c>
      <c r="D17" s="83">
        <v>342</v>
      </c>
      <c r="E17" s="84">
        <v>45992</v>
      </c>
      <c r="F17" s="324">
        <v>13.5</v>
      </c>
      <c r="G17" s="85">
        <v>56</v>
      </c>
      <c r="H17" s="83" t="s">
        <v>14</v>
      </c>
      <c r="I17" s="86" t="s">
        <v>15</v>
      </c>
      <c r="J17" s="86"/>
      <c r="K17" s="83" t="s">
        <v>16</v>
      </c>
      <c r="L17" s="83"/>
      <c r="M17" s="87"/>
      <c r="N17" s="88"/>
      <c r="O17" s="89"/>
      <c r="P17" s="348"/>
      <c r="Q17" s="13"/>
    </row>
    <row r="18" spans="1:17" ht="19.5" customHeight="1" x14ac:dyDescent="0.3">
      <c r="A18" s="37"/>
      <c r="B18" s="82">
        <f t="shared" ref="B18:B19" si="2">B17</f>
        <v>2026</v>
      </c>
      <c r="C18" s="82">
        <f>C3</f>
        <v>12</v>
      </c>
      <c r="D18" s="83">
        <v>343</v>
      </c>
      <c r="E18" s="84">
        <v>45992</v>
      </c>
      <c r="F18" s="324">
        <v>11.4</v>
      </c>
      <c r="G18" s="85">
        <v>65</v>
      </c>
      <c r="H18" s="83" t="s">
        <v>14</v>
      </c>
      <c r="I18" s="86" t="s">
        <v>15</v>
      </c>
      <c r="J18" s="86"/>
      <c r="K18" s="83" t="s">
        <v>16</v>
      </c>
      <c r="L18" s="83"/>
      <c r="M18" s="87"/>
      <c r="N18" s="88"/>
      <c r="O18" s="89"/>
      <c r="P18" s="348"/>
      <c r="Q18" s="13"/>
    </row>
    <row r="19" spans="1:17" ht="19.5" customHeight="1" x14ac:dyDescent="0.3">
      <c r="A19" s="37"/>
      <c r="B19" s="82">
        <f t="shared" si="2"/>
        <v>2026</v>
      </c>
      <c r="C19" s="82">
        <f>C4</f>
        <v>12</v>
      </c>
      <c r="D19" s="83">
        <v>344</v>
      </c>
      <c r="E19" s="84">
        <v>45992</v>
      </c>
      <c r="F19" s="324">
        <v>9.6</v>
      </c>
      <c r="G19" s="85">
        <v>57</v>
      </c>
      <c r="H19" s="83" t="s">
        <v>14</v>
      </c>
      <c r="I19" s="86" t="s">
        <v>15</v>
      </c>
      <c r="J19" s="86"/>
      <c r="K19" s="83" t="s">
        <v>16</v>
      </c>
      <c r="L19" s="83"/>
      <c r="M19" s="87"/>
      <c r="N19" s="88"/>
      <c r="O19" s="89"/>
      <c r="P19" s="348"/>
      <c r="Q19" s="13"/>
    </row>
    <row r="20" spans="1:17" ht="19.5" customHeight="1" x14ac:dyDescent="0.3">
      <c r="A20" s="37"/>
      <c r="B20" s="82">
        <f>B19</f>
        <v>2026</v>
      </c>
      <c r="C20" s="82">
        <f>C5</f>
        <v>12</v>
      </c>
      <c r="D20" s="83">
        <v>345</v>
      </c>
      <c r="E20" s="84">
        <v>45992</v>
      </c>
      <c r="F20" s="324">
        <v>8.4</v>
      </c>
      <c r="G20" s="85">
        <v>74</v>
      </c>
      <c r="H20" s="83" t="s">
        <v>14</v>
      </c>
      <c r="I20" s="86" t="s">
        <v>15</v>
      </c>
      <c r="J20" s="86"/>
      <c r="K20" s="83" t="s">
        <v>16</v>
      </c>
      <c r="L20" s="83"/>
      <c r="M20" s="87"/>
      <c r="N20" s="88"/>
      <c r="O20" s="89"/>
      <c r="P20" s="348"/>
      <c r="Q20" s="13"/>
    </row>
    <row r="21" spans="1:17" ht="19.5" customHeight="1" x14ac:dyDescent="0.3">
      <c r="A21" s="37"/>
      <c r="B21" s="90">
        <f>B20</f>
        <v>2026</v>
      </c>
      <c r="C21" s="90">
        <f>C6</f>
        <v>12</v>
      </c>
      <c r="D21" s="91">
        <v>346</v>
      </c>
      <c r="E21" s="84">
        <v>45992</v>
      </c>
      <c r="F21" s="324">
        <v>4.9000000000000004</v>
      </c>
      <c r="G21" s="85">
        <v>83</v>
      </c>
      <c r="H21" s="83" t="s">
        <v>14</v>
      </c>
      <c r="I21" s="86" t="s">
        <v>15</v>
      </c>
      <c r="J21" s="86"/>
      <c r="K21" s="83" t="s">
        <v>16</v>
      </c>
      <c r="L21" s="83"/>
      <c r="M21" s="87"/>
      <c r="N21" s="88"/>
      <c r="O21" s="89"/>
      <c r="P21" s="348"/>
      <c r="Q21" s="13"/>
    </row>
    <row r="22" spans="1:17" ht="19.5" customHeight="1" x14ac:dyDescent="0.3">
      <c r="A22" s="37"/>
      <c r="B22" s="92">
        <f t="shared" ref="B22" si="3">B21</f>
        <v>2026</v>
      </c>
      <c r="C22" s="82">
        <f>C7</f>
        <v>12</v>
      </c>
      <c r="D22" s="83">
        <v>347</v>
      </c>
      <c r="E22" s="93">
        <v>45992</v>
      </c>
      <c r="F22" s="325">
        <v>6.1</v>
      </c>
      <c r="G22" s="85">
        <v>140</v>
      </c>
      <c r="H22" s="83" t="s">
        <v>14</v>
      </c>
      <c r="I22" s="86" t="s">
        <v>15</v>
      </c>
      <c r="J22" s="86"/>
      <c r="K22" s="83" t="s">
        <v>16</v>
      </c>
      <c r="L22" s="83"/>
      <c r="M22" s="87"/>
      <c r="N22" s="88"/>
      <c r="O22" s="89"/>
      <c r="P22" s="348"/>
      <c r="Q22" s="13"/>
    </row>
    <row r="23" spans="1:17" ht="19.5" customHeight="1" x14ac:dyDescent="0.3">
      <c r="A23" s="37"/>
      <c r="B23" s="82">
        <f>B22</f>
        <v>2026</v>
      </c>
      <c r="C23" s="94">
        <f>C5</f>
        <v>12</v>
      </c>
      <c r="D23" s="95">
        <v>348</v>
      </c>
      <c r="E23" s="84">
        <v>45992</v>
      </c>
      <c r="F23" s="324">
        <v>2.9</v>
      </c>
      <c r="G23" s="85">
        <v>124</v>
      </c>
      <c r="H23" s="83" t="s">
        <v>14</v>
      </c>
      <c r="I23" s="86" t="s">
        <v>15</v>
      </c>
      <c r="J23" s="86"/>
      <c r="K23" s="83" t="s">
        <v>16</v>
      </c>
      <c r="L23" s="83"/>
      <c r="M23" s="87"/>
      <c r="N23" s="96"/>
      <c r="O23" s="97"/>
      <c r="P23" s="348"/>
      <c r="Q23" s="13"/>
    </row>
    <row r="24" spans="1:17" ht="19.5" customHeight="1" thickBot="1" x14ac:dyDescent="0.35">
      <c r="A24" s="37"/>
      <c r="B24" s="98">
        <f>B23</f>
        <v>2026</v>
      </c>
      <c r="C24" s="90">
        <f>C6</f>
        <v>12</v>
      </c>
      <c r="D24" s="99">
        <v>349</v>
      </c>
      <c r="E24" s="100">
        <v>45992</v>
      </c>
      <c r="F24" s="326">
        <v>3.7</v>
      </c>
      <c r="G24" s="101">
        <v>120</v>
      </c>
      <c r="H24" s="99" t="s">
        <v>14</v>
      </c>
      <c r="I24" s="102" t="s">
        <v>15</v>
      </c>
      <c r="J24" s="102"/>
      <c r="K24" s="99" t="s">
        <v>16</v>
      </c>
      <c r="L24" s="99"/>
      <c r="M24" s="103"/>
      <c r="N24" s="104"/>
      <c r="O24" s="105"/>
      <c r="P24" s="349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12</v>
      </c>
      <c r="D25" s="106">
        <v>401</v>
      </c>
      <c r="E25" s="108">
        <v>45992</v>
      </c>
      <c r="F25" s="327">
        <v>10.8</v>
      </c>
      <c r="G25" s="109">
        <v>86</v>
      </c>
      <c r="H25" s="106" t="s">
        <v>14</v>
      </c>
      <c r="I25" s="110" t="s">
        <v>15</v>
      </c>
      <c r="J25" s="110"/>
      <c r="K25" s="106" t="s">
        <v>16</v>
      </c>
      <c r="L25" s="106"/>
      <c r="M25" s="111"/>
      <c r="N25" s="112"/>
      <c r="O25" s="113"/>
      <c r="P25" s="350" t="s">
        <v>34</v>
      </c>
      <c r="Q25" s="13"/>
    </row>
    <row r="26" spans="1:17" ht="19.5" customHeight="1" thickBot="1" x14ac:dyDescent="0.35">
      <c r="A26" s="37"/>
      <c r="B26" s="106">
        <f t="shared" ref="B26:B61" si="4">B25</f>
        <v>2026</v>
      </c>
      <c r="C26" s="114">
        <f>C3</f>
        <v>12</v>
      </c>
      <c r="D26" s="115">
        <v>404</v>
      </c>
      <c r="E26" s="116">
        <v>45993</v>
      </c>
      <c r="F26" s="327">
        <v>10.9</v>
      </c>
      <c r="G26" s="109">
        <v>70</v>
      </c>
      <c r="H26" s="115" t="s">
        <v>14</v>
      </c>
      <c r="I26" s="117" t="s">
        <v>15</v>
      </c>
      <c r="J26" s="117"/>
      <c r="K26" s="115" t="s">
        <v>16</v>
      </c>
      <c r="L26" s="115"/>
      <c r="M26" s="118"/>
      <c r="N26" s="119"/>
      <c r="O26" s="120"/>
      <c r="P26" s="350"/>
      <c r="Q26" s="13"/>
    </row>
    <row r="27" spans="1:17" ht="19.5" customHeight="1" thickBot="1" x14ac:dyDescent="0.35">
      <c r="A27" s="37"/>
      <c r="B27" s="121">
        <f t="shared" si="4"/>
        <v>2026</v>
      </c>
      <c r="C27" s="121">
        <f>C3</f>
        <v>12</v>
      </c>
      <c r="D27" s="122">
        <v>405</v>
      </c>
      <c r="E27" s="123">
        <v>45993</v>
      </c>
      <c r="F27" s="126">
        <v>10.3</v>
      </c>
      <c r="G27" s="124">
        <v>57</v>
      </c>
      <c r="H27" s="122" t="s">
        <v>14</v>
      </c>
      <c r="I27" s="124" t="s">
        <v>15</v>
      </c>
      <c r="J27" s="124"/>
      <c r="K27" s="122" t="s">
        <v>16</v>
      </c>
      <c r="L27" s="122"/>
      <c r="M27" s="125"/>
      <c r="N27" s="126"/>
      <c r="O27" s="127"/>
      <c r="P27" s="350"/>
      <c r="Q27" s="13"/>
    </row>
    <row r="28" spans="1:17" ht="19.5" customHeight="1" thickBot="1" x14ac:dyDescent="0.35">
      <c r="A28" s="37"/>
      <c r="B28" s="128">
        <f t="shared" si="4"/>
        <v>2026</v>
      </c>
      <c r="C28" s="128">
        <f>C3</f>
        <v>12</v>
      </c>
      <c r="D28" s="129">
        <v>411</v>
      </c>
      <c r="E28" s="130">
        <v>45994</v>
      </c>
      <c r="F28" s="133">
        <v>14.7</v>
      </c>
      <c r="G28" s="131">
        <v>55</v>
      </c>
      <c r="H28" s="129" t="s">
        <v>14</v>
      </c>
      <c r="I28" s="131" t="s">
        <v>15</v>
      </c>
      <c r="J28" s="131"/>
      <c r="K28" s="129" t="s">
        <v>16</v>
      </c>
      <c r="L28" s="129"/>
      <c r="M28" s="132"/>
      <c r="N28" s="133"/>
      <c r="O28" s="134"/>
      <c r="P28" s="351" t="s">
        <v>35</v>
      </c>
      <c r="Q28" s="13"/>
    </row>
    <row r="29" spans="1:17" ht="19.5" customHeight="1" thickBot="1" x14ac:dyDescent="0.35">
      <c r="A29" s="37"/>
      <c r="B29" s="135">
        <f t="shared" si="4"/>
        <v>2026</v>
      </c>
      <c r="C29" s="135">
        <f>C3</f>
        <v>12</v>
      </c>
      <c r="D29" s="136">
        <v>418</v>
      </c>
      <c r="E29" s="137">
        <v>45994</v>
      </c>
      <c r="F29" s="140">
        <v>13.2</v>
      </c>
      <c r="G29" s="138">
        <v>73</v>
      </c>
      <c r="H29" s="136" t="s">
        <v>14</v>
      </c>
      <c r="I29" s="138" t="s">
        <v>15</v>
      </c>
      <c r="J29" s="138"/>
      <c r="K29" s="136" t="s">
        <v>16</v>
      </c>
      <c r="L29" s="136"/>
      <c r="M29" s="139"/>
      <c r="N29" s="140"/>
      <c r="O29" s="141"/>
      <c r="P29" s="351"/>
      <c r="Q29" s="13"/>
    </row>
    <row r="30" spans="1:17" ht="19.5" customHeight="1" thickBot="1" x14ac:dyDescent="0.35">
      <c r="A30" s="37"/>
      <c r="B30" s="135">
        <f t="shared" si="4"/>
        <v>2026</v>
      </c>
      <c r="C30" s="135">
        <f>C3</f>
        <v>12</v>
      </c>
      <c r="D30" s="136">
        <v>501</v>
      </c>
      <c r="E30" s="142">
        <v>45994</v>
      </c>
      <c r="F30" s="328">
        <v>15.1</v>
      </c>
      <c r="G30" s="143">
        <v>43</v>
      </c>
      <c r="H30" s="136" t="s">
        <v>14</v>
      </c>
      <c r="I30" s="138" t="s">
        <v>15</v>
      </c>
      <c r="J30" s="138"/>
      <c r="K30" s="136" t="s">
        <v>16</v>
      </c>
      <c r="L30" s="136"/>
      <c r="M30" s="139"/>
      <c r="N30" s="140"/>
      <c r="O30" s="141"/>
      <c r="P30" s="351"/>
      <c r="Q30" s="13"/>
    </row>
    <row r="31" spans="1:17" ht="19.5" customHeight="1" thickBot="1" x14ac:dyDescent="0.35">
      <c r="A31" s="37"/>
      <c r="B31" s="135">
        <f t="shared" si="4"/>
        <v>2026</v>
      </c>
      <c r="C31" s="135">
        <f>C3</f>
        <v>12</v>
      </c>
      <c r="D31" s="136">
        <v>504</v>
      </c>
      <c r="E31" s="137">
        <v>45994</v>
      </c>
      <c r="F31" s="140">
        <v>17.399999999999999</v>
      </c>
      <c r="G31" s="138">
        <v>52</v>
      </c>
      <c r="H31" s="136" t="s">
        <v>14</v>
      </c>
      <c r="I31" s="138" t="s">
        <v>15</v>
      </c>
      <c r="J31" s="138"/>
      <c r="K31" s="136" t="s">
        <v>16</v>
      </c>
      <c r="L31" s="136"/>
      <c r="M31" s="139"/>
      <c r="N31" s="140"/>
      <c r="O31" s="141"/>
      <c r="P31" s="351"/>
      <c r="Q31" s="13"/>
    </row>
    <row r="32" spans="1:17" ht="19.5" customHeight="1" thickBot="1" x14ac:dyDescent="0.35">
      <c r="A32" s="37"/>
      <c r="B32" s="135">
        <f t="shared" si="4"/>
        <v>2026</v>
      </c>
      <c r="C32" s="135">
        <f>C3</f>
        <v>12</v>
      </c>
      <c r="D32" s="136">
        <v>519</v>
      </c>
      <c r="E32" s="137">
        <v>45994</v>
      </c>
      <c r="F32" s="140">
        <v>20.3</v>
      </c>
      <c r="G32" s="138">
        <v>38</v>
      </c>
      <c r="H32" s="136" t="s">
        <v>14</v>
      </c>
      <c r="I32" s="138" t="s">
        <v>15</v>
      </c>
      <c r="J32" s="138"/>
      <c r="K32" s="136" t="s">
        <v>16</v>
      </c>
      <c r="L32" s="136"/>
      <c r="M32" s="139"/>
      <c r="N32" s="140"/>
      <c r="O32" s="141"/>
      <c r="P32" s="351"/>
      <c r="Q32" s="13"/>
    </row>
    <row r="33" spans="1:17" ht="19.5" customHeight="1" thickBot="1" x14ac:dyDescent="0.35">
      <c r="A33" s="37"/>
      <c r="B33" s="135">
        <f t="shared" si="4"/>
        <v>2026</v>
      </c>
      <c r="C33" s="135">
        <f>C3</f>
        <v>12</v>
      </c>
      <c r="D33" s="136">
        <v>602</v>
      </c>
      <c r="E33" s="142">
        <v>45994</v>
      </c>
      <c r="F33" s="328">
        <v>41.1</v>
      </c>
      <c r="G33" s="143">
        <v>30</v>
      </c>
      <c r="H33" s="136" t="s">
        <v>14</v>
      </c>
      <c r="I33" s="138" t="s">
        <v>15</v>
      </c>
      <c r="J33" s="138"/>
      <c r="K33" s="136" t="s">
        <v>16</v>
      </c>
      <c r="L33" s="136"/>
      <c r="M33" s="139"/>
      <c r="N33" s="140"/>
      <c r="O33" s="141"/>
      <c r="P33" s="351"/>
      <c r="Q33" s="13"/>
    </row>
    <row r="34" spans="1:17" ht="19.5" customHeight="1" thickBot="1" x14ac:dyDescent="0.35">
      <c r="A34" s="37"/>
      <c r="B34" s="135">
        <f t="shared" si="4"/>
        <v>2026</v>
      </c>
      <c r="C34" s="135">
        <f>C3</f>
        <v>12</v>
      </c>
      <c r="D34" s="136">
        <v>606</v>
      </c>
      <c r="E34" s="137">
        <v>45994</v>
      </c>
      <c r="F34" s="140">
        <v>32</v>
      </c>
      <c r="G34" s="138">
        <v>28</v>
      </c>
      <c r="H34" s="136" t="s">
        <v>14</v>
      </c>
      <c r="I34" s="138" t="s">
        <v>15</v>
      </c>
      <c r="J34" s="138"/>
      <c r="K34" s="136" t="s">
        <v>16</v>
      </c>
      <c r="L34" s="136"/>
      <c r="M34" s="139"/>
      <c r="N34" s="140"/>
      <c r="O34" s="141"/>
      <c r="P34" s="351"/>
      <c r="Q34" s="13"/>
    </row>
    <row r="35" spans="1:17" ht="19.5" customHeight="1" thickBot="1" x14ac:dyDescent="0.35">
      <c r="A35" s="37"/>
      <c r="B35" s="135">
        <f t="shared" si="4"/>
        <v>2026</v>
      </c>
      <c r="C35" s="135">
        <f>C3</f>
        <v>12</v>
      </c>
      <c r="D35" s="136">
        <v>609</v>
      </c>
      <c r="E35" s="137">
        <v>45994</v>
      </c>
      <c r="F35" s="140">
        <v>38.799999999999997</v>
      </c>
      <c r="G35" s="138">
        <v>25</v>
      </c>
      <c r="H35" s="136" t="s">
        <v>14</v>
      </c>
      <c r="I35" s="138" t="s">
        <v>15</v>
      </c>
      <c r="J35" s="138"/>
      <c r="K35" s="136" t="s">
        <v>16</v>
      </c>
      <c r="L35" s="136"/>
      <c r="M35" s="139"/>
      <c r="N35" s="140"/>
      <c r="O35" s="141"/>
      <c r="P35" s="351"/>
      <c r="Q35" s="13"/>
    </row>
    <row r="36" spans="1:17" ht="19.5" customHeight="1" thickBot="1" x14ac:dyDescent="0.35">
      <c r="A36" s="37"/>
      <c r="B36" s="144">
        <f t="shared" si="4"/>
        <v>2026</v>
      </c>
      <c r="C36" s="145">
        <f>C3</f>
        <v>12</v>
      </c>
      <c r="D36" s="146">
        <v>610</v>
      </c>
      <c r="E36" s="147">
        <v>45994</v>
      </c>
      <c r="F36" s="329">
        <v>13.9</v>
      </c>
      <c r="G36" s="148">
        <v>45</v>
      </c>
      <c r="H36" s="146" t="s">
        <v>14</v>
      </c>
      <c r="I36" s="149" t="s">
        <v>15</v>
      </c>
      <c r="J36" s="149"/>
      <c r="K36" s="146" t="s">
        <v>16</v>
      </c>
      <c r="L36" s="146"/>
      <c r="M36" s="150"/>
      <c r="N36" s="151"/>
      <c r="O36" s="152"/>
      <c r="P36" s="351"/>
      <c r="Q36" s="13"/>
    </row>
    <row r="37" spans="1:17" ht="19.5" customHeight="1" thickBot="1" x14ac:dyDescent="0.35">
      <c r="A37" s="37"/>
      <c r="B37" s="153">
        <f t="shared" si="4"/>
        <v>2026</v>
      </c>
      <c r="C37" s="154">
        <f>C3</f>
        <v>12</v>
      </c>
      <c r="D37" s="155">
        <v>508</v>
      </c>
      <c r="E37" s="156">
        <v>45994</v>
      </c>
      <c r="F37" s="330">
        <v>17.5</v>
      </c>
      <c r="G37" s="157">
        <v>45</v>
      </c>
      <c r="H37" s="158" t="s">
        <v>14</v>
      </c>
      <c r="I37" s="158" t="s">
        <v>15</v>
      </c>
      <c r="J37" s="158"/>
      <c r="K37" s="155" t="s">
        <v>16</v>
      </c>
      <c r="L37" s="155"/>
      <c r="M37" s="159"/>
      <c r="N37" s="160"/>
      <c r="O37" s="161"/>
      <c r="P37" s="352" t="s">
        <v>13</v>
      </c>
      <c r="Q37" s="13"/>
    </row>
    <row r="38" spans="1:17" ht="19.5" customHeight="1" thickBot="1" x14ac:dyDescent="0.35">
      <c r="A38" s="37"/>
      <c r="B38" s="162">
        <f t="shared" si="4"/>
        <v>2026</v>
      </c>
      <c r="C38" s="154">
        <f>C3</f>
        <v>12</v>
      </c>
      <c r="D38" s="163">
        <v>513</v>
      </c>
      <c r="E38" s="164">
        <v>45994</v>
      </c>
      <c r="F38" s="331">
        <v>8.3000000000000007</v>
      </c>
      <c r="G38" s="165">
        <v>79</v>
      </c>
      <c r="H38" s="166" t="s">
        <v>14</v>
      </c>
      <c r="I38" s="166" t="s">
        <v>15</v>
      </c>
      <c r="J38" s="166"/>
      <c r="K38" s="163" t="s">
        <v>16</v>
      </c>
      <c r="L38" s="163"/>
      <c r="M38" s="167"/>
      <c r="N38" s="168"/>
      <c r="O38" s="169"/>
      <c r="P38" s="352"/>
      <c r="Q38" s="13"/>
    </row>
    <row r="39" spans="1:17" ht="19.5" customHeight="1" thickBot="1" x14ac:dyDescent="0.35">
      <c r="A39" s="37"/>
      <c r="B39" s="162">
        <f t="shared" si="4"/>
        <v>2026</v>
      </c>
      <c r="C39" s="154">
        <f>C3</f>
        <v>12</v>
      </c>
      <c r="D39" s="163">
        <v>520</v>
      </c>
      <c r="E39" s="164">
        <v>45993</v>
      </c>
      <c r="F39" s="331">
        <v>11.3</v>
      </c>
      <c r="G39" s="165">
        <v>62</v>
      </c>
      <c r="H39" s="166" t="s">
        <v>14</v>
      </c>
      <c r="I39" s="166" t="s">
        <v>15</v>
      </c>
      <c r="J39" s="166"/>
      <c r="K39" s="163" t="s">
        <v>16</v>
      </c>
      <c r="L39" s="163"/>
      <c r="M39" s="167"/>
      <c r="N39" s="168"/>
      <c r="O39" s="169"/>
      <c r="P39" s="352"/>
      <c r="Q39" s="13"/>
    </row>
    <row r="40" spans="1:17" ht="19.5" customHeight="1" thickBot="1" x14ac:dyDescent="0.35">
      <c r="A40" s="37"/>
      <c r="B40" s="162">
        <f t="shared" si="4"/>
        <v>2026</v>
      </c>
      <c r="C40" s="154">
        <f>C3</f>
        <v>12</v>
      </c>
      <c r="D40" s="163">
        <v>801</v>
      </c>
      <c r="E40" s="164">
        <v>45994</v>
      </c>
      <c r="F40" s="331">
        <v>10.7</v>
      </c>
      <c r="G40" s="165">
        <v>87</v>
      </c>
      <c r="H40" s="166" t="s">
        <v>14</v>
      </c>
      <c r="I40" s="166" t="s">
        <v>15</v>
      </c>
      <c r="J40" s="166"/>
      <c r="K40" s="163" t="s">
        <v>16</v>
      </c>
      <c r="L40" s="163"/>
      <c r="M40" s="167"/>
      <c r="N40" s="168"/>
      <c r="O40" s="169"/>
      <c r="P40" s="352"/>
      <c r="Q40" s="13"/>
    </row>
    <row r="41" spans="1:17" ht="19.5" customHeight="1" thickBot="1" x14ac:dyDescent="0.35">
      <c r="A41" s="37"/>
      <c r="B41" s="170">
        <f t="shared" si="4"/>
        <v>2026</v>
      </c>
      <c r="C41" s="171">
        <f>C3</f>
        <v>12</v>
      </c>
      <c r="D41" s="172">
        <v>804</v>
      </c>
      <c r="E41" s="173">
        <v>45993</v>
      </c>
      <c r="F41" s="332">
        <v>9.4</v>
      </c>
      <c r="G41" s="174">
        <v>77</v>
      </c>
      <c r="H41" s="175" t="s">
        <v>14</v>
      </c>
      <c r="I41" s="175" t="s">
        <v>15</v>
      </c>
      <c r="J41" s="175"/>
      <c r="K41" s="172" t="s">
        <v>16</v>
      </c>
      <c r="L41" s="172"/>
      <c r="M41" s="176"/>
      <c r="N41" s="177"/>
      <c r="O41" s="178"/>
      <c r="P41" s="352"/>
      <c r="Q41" s="13"/>
    </row>
    <row r="42" spans="1:17" ht="19.5" customHeight="1" x14ac:dyDescent="0.3">
      <c r="A42" s="37"/>
      <c r="B42" s="179">
        <f t="shared" si="4"/>
        <v>2026</v>
      </c>
      <c r="C42" s="180">
        <f>C3</f>
        <v>12</v>
      </c>
      <c r="D42" s="181">
        <v>703</v>
      </c>
      <c r="E42" s="182">
        <v>45993</v>
      </c>
      <c r="F42" s="333">
        <v>7.9</v>
      </c>
      <c r="G42" s="183">
        <v>56</v>
      </c>
      <c r="H42" s="184" t="s">
        <v>14</v>
      </c>
      <c r="I42" s="185" t="s">
        <v>15</v>
      </c>
      <c r="J42" s="185"/>
      <c r="K42" s="181" t="s">
        <v>16</v>
      </c>
      <c r="L42" s="181"/>
      <c r="M42" s="186"/>
      <c r="N42" s="187"/>
      <c r="O42" s="188"/>
      <c r="P42" s="353" t="s">
        <v>36</v>
      </c>
      <c r="Q42" s="13"/>
    </row>
    <row r="43" spans="1:17" ht="19.5" customHeight="1" x14ac:dyDescent="0.3">
      <c r="A43" s="37"/>
      <c r="B43" s="189">
        <f t="shared" si="4"/>
        <v>2026</v>
      </c>
      <c r="C43" s="190">
        <f>C3</f>
        <v>12</v>
      </c>
      <c r="D43" s="191">
        <v>704</v>
      </c>
      <c r="E43" s="192">
        <v>45993</v>
      </c>
      <c r="F43" s="334">
        <v>12.2</v>
      </c>
      <c r="G43" s="193">
        <v>39</v>
      </c>
      <c r="H43" s="184" t="s">
        <v>14</v>
      </c>
      <c r="I43" s="194" t="s">
        <v>15</v>
      </c>
      <c r="J43" s="194"/>
      <c r="K43" s="191" t="s">
        <v>16</v>
      </c>
      <c r="L43" s="191"/>
      <c r="M43" s="195"/>
      <c r="N43" s="196"/>
      <c r="O43" s="197"/>
      <c r="P43" s="354"/>
      <c r="Q43" s="13"/>
    </row>
    <row r="44" spans="1:17" ht="19.5" customHeight="1" x14ac:dyDescent="0.3">
      <c r="A44" s="37"/>
      <c r="B44" s="189">
        <f t="shared" si="4"/>
        <v>2026</v>
      </c>
      <c r="C44" s="190">
        <f>C3</f>
        <v>12</v>
      </c>
      <c r="D44" s="191">
        <v>705</v>
      </c>
      <c r="E44" s="192">
        <v>45993</v>
      </c>
      <c r="F44" s="334">
        <v>9.5</v>
      </c>
      <c r="G44" s="193">
        <v>85</v>
      </c>
      <c r="H44" s="184" t="s">
        <v>14</v>
      </c>
      <c r="I44" s="194" t="s">
        <v>15</v>
      </c>
      <c r="J44" s="194"/>
      <c r="K44" s="191" t="s">
        <v>16</v>
      </c>
      <c r="L44" s="191"/>
      <c r="M44" s="195"/>
      <c r="N44" s="196"/>
      <c r="O44" s="197"/>
      <c r="P44" s="354"/>
      <c r="Q44" s="13"/>
    </row>
    <row r="45" spans="1:17" ht="19.5" customHeight="1" x14ac:dyDescent="0.3">
      <c r="A45" s="37"/>
      <c r="B45" s="189">
        <f t="shared" si="4"/>
        <v>2026</v>
      </c>
      <c r="C45" s="190">
        <f>C3</f>
        <v>12</v>
      </c>
      <c r="D45" s="191">
        <v>706</v>
      </c>
      <c r="E45" s="192">
        <v>45993</v>
      </c>
      <c r="F45" s="334">
        <v>15.7</v>
      </c>
      <c r="G45" s="193">
        <v>36</v>
      </c>
      <c r="H45" s="184" t="s">
        <v>14</v>
      </c>
      <c r="I45" s="194" t="s">
        <v>15</v>
      </c>
      <c r="J45" s="194"/>
      <c r="K45" s="191" t="s">
        <v>16</v>
      </c>
      <c r="L45" s="191"/>
      <c r="M45" s="195"/>
      <c r="N45" s="196"/>
      <c r="O45" s="197"/>
      <c r="P45" s="354"/>
      <c r="Q45" s="13"/>
    </row>
    <row r="46" spans="1:17" ht="19.5" customHeight="1" x14ac:dyDescent="0.3">
      <c r="A46" s="37"/>
      <c r="B46" s="189">
        <f t="shared" si="4"/>
        <v>2026</v>
      </c>
      <c r="C46" s="190">
        <f>C3</f>
        <v>12</v>
      </c>
      <c r="D46" s="191">
        <v>707</v>
      </c>
      <c r="E46" s="192">
        <v>45993</v>
      </c>
      <c r="F46" s="334">
        <v>10.7</v>
      </c>
      <c r="G46" s="193">
        <v>68</v>
      </c>
      <c r="H46" s="184" t="s">
        <v>14</v>
      </c>
      <c r="I46" s="194" t="s">
        <v>15</v>
      </c>
      <c r="J46" s="194"/>
      <c r="K46" s="191" t="s">
        <v>16</v>
      </c>
      <c r="L46" s="191"/>
      <c r="M46" s="195"/>
      <c r="N46" s="196"/>
      <c r="O46" s="197"/>
      <c r="P46" s="354"/>
      <c r="Q46" s="13"/>
    </row>
    <row r="47" spans="1:17" ht="19.5" customHeight="1" x14ac:dyDescent="0.3">
      <c r="A47" s="37"/>
      <c r="B47" s="189">
        <f t="shared" si="4"/>
        <v>2026</v>
      </c>
      <c r="C47" s="190">
        <f>C3</f>
        <v>12</v>
      </c>
      <c r="D47" s="191">
        <v>711</v>
      </c>
      <c r="E47" s="192">
        <v>45993</v>
      </c>
      <c r="F47" s="334">
        <v>5.9</v>
      </c>
      <c r="G47" s="193">
        <v>145</v>
      </c>
      <c r="H47" s="184" t="s">
        <v>14</v>
      </c>
      <c r="I47" s="194" t="s">
        <v>15</v>
      </c>
      <c r="J47" s="194"/>
      <c r="K47" s="191" t="s">
        <v>16</v>
      </c>
      <c r="L47" s="191"/>
      <c r="M47" s="195"/>
      <c r="N47" s="196"/>
      <c r="O47" s="197"/>
      <c r="P47" s="354"/>
      <c r="Q47" s="13"/>
    </row>
    <row r="48" spans="1:17" ht="19.5" customHeight="1" x14ac:dyDescent="0.3">
      <c r="A48" s="37"/>
      <c r="B48" s="198">
        <f t="shared" si="4"/>
        <v>2026</v>
      </c>
      <c r="C48" s="198">
        <f>C3</f>
        <v>12</v>
      </c>
      <c r="D48" s="199">
        <v>716</v>
      </c>
      <c r="E48" s="200">
        <v>45993</v>
      </c>
      <c r="F48" s="335">
        <v>6.3</v>
      </c>
      <c r="G48" s="201">
        <v>115</v>
      </c>
      <c r="H48" s="202" t="s">
        <v>14</v>
      </c>
      <c r="I48" s="201" t="s">
        <v>15</v>
      </c>
      <c r="J48" s="201"/>
      <c r="K48" s="199" t="s">
        <v>16</v>
      </c>
      <c r="L48" s="199"/>
      <c r="M48" s="203"/>
      <c r="N48" s="204"/>
      <c r="O48" s="205"/>
      <c r="P48" s="354"/>
      <c r="Q48" s="13"/>
    </row>
    <row r="49" spans="1:17" ht="19.5" customHeight="1" thickBot="1" x14ac:dyDescent="0.35">
      <c r="A49" s="37"/>
      <c r="B49" s="189">
        <f t="shared" si="4"/>
        <v>2026</v>
      </c>
      <c r="C49" s="190">
        <f>C3</f>
        <v>12</v>
      </c>
      <c r="D49" s="191">
        <v>723</v>
      </c>
      <c r="E49" s="192">
        <v>45993</v>
      </c>
      <c r="F49" s="334">
        <v>5.8</v>
      </c>
      <c r="G49" s="193">
        <v>120</v>
      </c>
      <c r="H49" s="184" t="s">
        <v>14</v>
      </c>
      <c r="I49" s="193" t="s">
        <v>15</v>
      </c>
      <c r="J49" s="194"/>
      <c r="K49" s="184" t="s">
        <v>16</v>
      </c>
      <c r="L49" s="184"/>
      <c r="M49" s="206"/>
      <c r="N49" s="207"/>
      <c r="O49" s="208"/>
      <c r="P49" s="355"/>
      <c r="Q49" s="13"/>
    </row>
    <row r="50" spans="1:17" ht="19.5" customHeight="1" thickBot="1" x14ac:dyDescent="0.35">
      <c r="A50" s="37"/>
      <c r="B50" s="209">
        <v>2026</v>
      </c>
      <c r="C50" s="210">
        <f>C3</f>
        <v>12</v>
      </c>
      <c r="D50" s="211">
        <v>809</v>
      </c>
      <c r="E50" s="212">
        <v>45992</v>
      </c>
      <c r="F50" s="336">
        <v>5.0999999999999996</v>
      </c>
      <c r="G50" s="213">
        <v>122</v>
      </c>
      <c r="H50" s="211" t="s">
        <v>14</v>
      </c>
      <c r="I50" s="214" t="s">
        <v>15</v>
      </c>
      <c r="J50" s="214"/>
      <c r="K50" s="211" t="s">
        <v>16</v>
      </c>
      <c r="L50" s="211"/>
      <c r="M50" s="215"/>
      <c r="N50" s="216"/>
      <c r="O50" s="217"/>
      <c r="P50" s="345" t="s">
        <v>30</v>
      </c>
      <c r="Q50" s="13"/>
    </row>
    <row r="51" spans="1:17" ht="19.5" customHeight="1" thickBot="1" x14ac:dyDescent="0.35">
      <c r="A51" s="37"/>
      <c r="B51" s="218">
        <f t="shared" si="4"/>
        <v>2026</v>
      </c>
      <c r="C51" s="219">
        <f>C3</f>
        <v>12</v>
      </c>
      <c r="D51" s="220">
        <v>812</v>
      </c>
      <c r="E51" s="221">
        <v>45992</v>
      </c>
      <c r="F51" s="337">
        <v>4.8</v>
      </c>
      <c r="G51" s="222">
        <v>109</v>
      </c>
      <c r="H51" s="220" t="s">
        <v>14</v>
      </c>
      <c r="I51" s="223" t="s">
        <v>15</v>
      </c>
      <c r="J51" s="223"/>
      <c r="K51" s="220" t="s">
        <v>16</v>
      </c>
      <c r="L51" s="220"/>
      <c r="M51" s="224"/>
      <c r="N51" s="225"/>
      <c r="O51" s="226"/>
      <c r="P51" s="345"/>
      <c r="Q51" s="13"/>
    </row>
    <row r="52" spans="1:17" ht="19.5" customHeight="1" thickBot="1" x14ac:dyDescent="0.35">
      <c r="A52" s="37"/>
      <c r="B52" s="227">
        <f t="shared" si="4"/>
        <v>2026</v>
      </c>
      <c r="C52" s="228">
        <f>C3</f>
        <v>12</v>
      </c>
      <c r="D52" s="229">
        <v>815</v>
      </c>
      <c r="E52" s="230">
        <v>45992</v>
      </c>
      <c r="F52" s="338">
        <v>4.2</v>
      </c>
      <c r="G52" s="231">
        <v>114</v>
      </c>
      <c r="H52" s="232" t="s">
        <v>14</v>
      </c>
      <c r="I52" s="233" t="s">
        <v>15</v>
      </c>
      <c r="J52" s="233"/>
      <c r="K52" s="229" t="s">
        <v>16</v>
      </c>
      <c r="L52" s="229"/>
      <c r="M52" s="234"/>
      <c r="N52" s="235"/>
      <c r="O52" s="236"/>
      <c r="P52" s="345"/>
      <c r="Q52" s="13"/>
    </row>
    <row r="53" spans="1:17" ht="19.5" customHeight="1" thickBot="1" x14ac:dyDescent="0.35">
      <c r="A53" s="37"/>
      <c r="B53" s="227">
        <f t="shared" si="4"/>
        <v>2026</v>
      </c>
      <c r="C53" s="228">
        <f>C3</f>
        <v>12</v>
      </c>
      <c r="D53" s="229">
        <v>901</v>
      </c>
      <c r="E53" s="237">
        <v>45992</v>
      </c>
      <c r="F53" s="339">
        <v>1.4</v>
      </c>
      <c r="G53" s="231">
        <v>132</v>
      </c>
      <c r="H53" s="232" t="s">
        <v>14</v>
      </c>
      <c r="I53" s="233" t="s">
        <v>15</v>
      </c>
      <c r="J53" s="233"/>
      <c r="K53" s="229" t="s">
        <v>16</v>
      </c>
      <c r="L53" s="229"/>
      <c r="M53" s="234"/>
      <c r="N53" s="235"/>
      <c r="O53" s="236"/>
      <c r="P53" s="345"/>
      <c r="Q53" s="13"/>
    </row>
    <row r="54" spans="1:17" ht="19.5" customHeight="1" thickBot="1" x14ac:dyDescent="0.35">
      <c r="A54" s="37"/>
      <c r="B54" s="227">
        <f t="shared" si="4"/>
        <v>2026</v>
      </c>
      <c r="C54" s="228">
        <f>C3</f>
        <v>12</v>
      </c>
      <c r="D54" s="229">
        <v>902</v>
      </c>
      <c r="E54" s="237">
        <v>45992</v>
      </c>
      <c r="F54" s="339">
        <v>1.4</v>
      </c>
      <c r="G54" s="231">
        <v>200</v>
      </c>
      <c r="H54" s="232" t="s">
        <v>14</v>
      </c>
      <c r="I54" s="233" t="s">
        <v>15</v>
      </c>
      <c r="J54" s="233"/>
      <c r="K54" s="229" t="s">
        <v>16</v>
      </c>
      <c r="L54" s="229"/>
      <c r="M54" s="234"/>
      <c r="N54" s="235"/>
      <c r="O54" s="236"/>
      <c r="P54" s="345"/>
      <c r="Q54" s="13"/>
    </row>
    <row r="55" spans="1:17" ht="19.5" customHeight="1" thickBot="1" x14ac:dyDescent="0.35">
      <c r="A55" s="37"/>
      <c r="B55" s="227">
        <f t="shared" si="4"/>
        <v>2026</v>
      </c>
      <c r="C55" s="228">
        <f>C3</f>
        <v>12</v>
      </c>
      <c r="D55" s="229">
        <v>906</v>
      </c>
      <c r="E55" s="237">
        <v>45992</v>
      </c>
      <c r="F55" s="339"/>
      <c r="G55" s="231">
        <v>141</v>
      </c>
      <c r="H55" s="232" t="s">
        <v>14</v>
      </c>
      <c r="I55" s="233" t="s">
        <v>15</v>
      </c>
      <c r="J55" s="233"/>
      <c r="K55" s="229" t="s">
        <v>16</v>
      </c>
      <c r="L55" s="229"/>
      <c r="M55" s="234"/>
      <c r="N55" s="235"/>
      <c r="O55" s="236"/>
      <c r="P55" s="345"/>
      <c r="Q55" s="13"/>
    </row>
    <row r="56" spans="1:17" ht="19.5" customHeight="1" thickBot="1" x14ac:dyDescent="0.35">
      <c r="A56" s="37"/>
      <c r="B56" s="227">
        <f t="shared" si="4"/>
        <v>2026</v>
      </c>
      <c r="C56" s="228">
        <f>C3</f>
        <v>12</v>
      </c>
      <c r="D56" s="229">
        <v>910</v>
      </c>
      <c r="E56" s="237">
        <v>45992</v>
      </c>
      <c r="F56" s="339">
        <v>1.6</v>
      </c>
      <c r="G56" s="231">
        <v>200</v>
      </c>
      <c r="H56" s="232" t="s">
        <v>14</v>
      </c>
      <c r="I56" s="233" t="s">
        <v>15</v>
      </c>
      <c r="J56" s="233"/>
      <c r="K56" s="229" t="s">
        <v>16</v>
      </c>
      <c r="L56" s="229"/>
      <c r="M56" s="234"/>
      <c r="N56" s="235"/>
      <c r="O56" s="236"/>
      <c r="P56" s="345"/>
      <c r="Q56" s="13"/>
    </row>
    <row r="57" spans="1:17" ht="19.5" customHeight="1" thickBot="1" x14ac:dyDescent="0.35">
      <c r="A57" s="37"/>
      <c r="B57" s="227">
        <f t="shared" si="4"/>
        <v>2026</v>
      </c>
      <c r="C57" s="228">
        <f>C3</f>
        <v>12</v>
      </c>
      <c r="D57" s="229">
        <v>912</v>
      </c>
      <c r="E57" s="237">
        <v>45992</v>
      </c>
      <c r="F57" s="339">
        <v>3.6</v>
      </c>
      <c r="G57" s="231">
        <v>151</v>
      </c>
      <c r="H57" s="232" t="s">
        <v>14</v>
      </c>
      <c r="I57" s="233" t="s">
        <v>15</v>
      </c>
      <c r="J57" s="233"/>
      <c r="K57" s="229" t="s">
        <v>16</v>
      </c>
      <c r="L57" s="229"/>
      <c r="M57" s="234"/>
      <c r="N57" s="235"/>
      <c r="O57" s="236"/>
      <c r="P57" s="345"/>
      <c r="Q57" s="13"/>
    </row>
    <row r="58" spans="1:17" ht="19.5" customHeight="1" thickBot="1" x14ac:dyDescent="0.35">
      <c r="A58" s="37"/>
      <c r="B58" s="227">
        <f t="shared" si="4"/>
        <v>2026</v>
      </c>
      <c r="C58" s="228">
        <f>C3</f>
        <v>12</v>
      </c>
      <c r="D58" s="229">
        <v>914</v>
      </c>
      <c r="E58" s="237">
        <v>45992</v>
      </c>
      <c r="F58" s="339"/>
      <c r="G58" s="231">
        <v>200</v>
      </c>
      <c r="H58" s="232" t="s">
        <v>14</v>
      </c>
      <c r="I58" s="233" t="s">
        <v>15</v>
      </c>
      <c r="J58" s="233"/>
      <c r="K58" s="229" t="s">
        <v>16</v>
      </c>
      <c r="L58" s="229"/>
      <c r="M58" s="234"/>
      <c r="N58" s="235"/>
      <c r="O58" s="236"/>
      <c r="P58" s="345"/>
      <c r="Q58" s="13"/>
    </row>
    <row r="59" spans="1:17" ht="19.5" customHeight="1" thickBot="1" x14ac:dyDescent="0.35">
      <c r="A59" s="37"/>
      <c r="B59" s="227">
        <f t="shared" si="4"/>
        <v>2026</v>
      </c>
      <c r="C59" s="228">
        <f>C3</f>
        <v>12</v>
      </c>
      <c r="D59" s="229">
        <v>915</v>
      </c>
      <c r="E59" s="237">
        <v>45992</v>
      </c>
      <c r="F59" s="339"/>
      <c r="G59" s="231">
        <v>200</v>
      </c>
      <c r="H59" s="232" t="s">
        <v>14</v>
      </c>
      <c r="I59" s="233" t="s">
        <v>15</v>
      </c>
      <c r="J59" s="233"/>
      <c r="K59" s="229" t="s">
        <v>16</v>
      </c>
      <c r="L59" s="229"/>
      <c r="M59" s="234"/>
      <c r="N59" s="235"/>
      <c r="O59" s="236"/>
      <c r="P59" s="345"/>
      <c r="Q59" s="13"/>
    </row>
    <row r="60" spans="1:17" ht="19.5" customHeight="1" thickBot="1" x14ac:dyDescent="0.35">
      <c r="A60" s="37"/>
      <c r="B60" s="227">
        <f t="shared" si="4"/>
        <v>2026</v>
      </c>
      <c r="C60" s="228">
        <f>C3</f>
        <v>12</v>
      </c>
      <c r="D60" s="229">
        <v>918</v>
      </c>
      <c r="E60" s="237">
        <v>45992</v>
      </c>
      <c r="F60" s="339">
        <v>2.4</v>
      </c>
      <c r="G60" s="231">
        <v>200</v>
      </c>
      <c r="H60" s="232" t="s">
        <v>14</v>
      </c>
      <c r="I60" s="233" t="s">
        <v>15</v>
      </c>
      <c r="J60" s="233"/>
      <c r="K60" s="229" t="s">
        <v>16</v>
      </c>
      <c r="L60" s="229"/>
      <c r="M60" s="234"/>
      <c r="N60" s="235"/>
      <c r="O60" s="236"/>
      <c r="P60" s="345"/>
      <c r="Q60" s="13"/>
    </row>
    <row r="61" spans="1:17" ht="19.5" customHeight="1" thickBot="1" x14ac:dyDescent="0.35">
      <c r="A61" s="37"/>
      <c r="B61" s="238">
        <f t="shared" si="4"/>
        <v>2026</v>
      </c>
      <c r="C61" s="239">
        <f>C3</f>
        <v>12</v>
      </c>
      <c r="D61" s="240">
        <v>919</v>
      </c>
      <c r="E61" s="241">
        <v>45992</v>
      </c>
      <c r="F61" s="340"/>
      <c r="G61" s="242">
        <v>151</v>
      </c>
      <c r="H61" s="232" t="s">
        <v>14</v>
      </c>
      <c r="I61" s="243" t="s">
        <v>15</v>
      </c>
      <c r="J61" s="243"/>
      <c r="K61" s="240" t="s">
        <v>16</v>
      </c>
      <c r="L61" s="240"/>
      <c r="M61" s="244"/>
      <c r="N61" s="245"/>
      <c r="O61" s="246"/>
      <c r="P61" s="345"/>
      <c r="Q61" s="13"/>
    </row>
    <row r="62" spans="1:17" ht="19.5" customHeight="1" x14ac:dyDescent="0.3">
      <c r="A62" s="37"/>
      <c r="B62" s="4" t="s">
        <v>20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2"/>
      <c r="O62" s="22"/>
      <c r="P62" s="21"/>
      <c r="Q62" s="13"/>
    </row>
    <row r="63" spans="1:17" ht="19.5" customHeight="1" x14ac:dyDescent="0.3">
      <c r="A63" s="37"/>
      <c r="B63" s="4" t="s">
        <v>21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7"/>
      <c r="B64" s="4" t="s">
        <v>22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7"/>
      <c r="B65" s="7" t="s">
        <v>18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7"/>
      <c r="B66" s="24"/>
      <c r="C66" s="24"/>
      <c r="D66" s="24"/>
      <c r="E66" s="24"/>
      <c r="F66"/>
      <c r="G66"/>
      <c r="H66"/>
      <c r="I66"/>
      <c r="J66"/>
      <c r="K66"/>
      <c r="L66"/>
      <c r="M66"/>
      <c r="N66"/>
      <c r="O66"/>
      <c r="P66"/>
      <c r="Q6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  <c r="Q80"/>
    </row>
    <row r="81" spans="6:17" ht="14.4" x14ac:dyDescent="0.3">
      <c r="F81"/>
      <c r="G81"/>
      <c r="H81"/>
      <c r="I81"/>
      <c r="J81"/>
      <c r="K81"/>
      <c r="L81"/>
      <c r="M81"/>
      <c r="N81"/>
      <c r="O81"/>
      <c r="P81"/>
      <c r="Q81"/>
    </row>
    <row r="82" spans="6:17" ht="14.4" x14ac:dyDescent="0.3">
      <c r="F82"/>
      <c r="G82"/>
      <c r="H82"/>
      <c r="I82"/>
      <c r="J82"/>
      <c r="K82"/>
      <c r="L82"/>
      <c r="M82"/>
      <c r="N82"/>
      <c r="O82"/>
      <c r="P82"/>
      <c r="Q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2"/>
  <sheetViews>
    <sheetView tabSelected="1" topLeftCell="A49" workbookViewId="0">
      <selection activeCell="F56" sqref="F56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31</v>
      </c>
      <c r="D2" s="38" t="s">
        <v>32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f>'Survey 12'!B3</f>
        <v>2026</v>
      </c>
      <c r="C3" s="43">
        <v>13</v>
      </c>
      <c r="D3" s="43">
        <v>306</v>
      </c>
      <c r="E3" s="44">
        <v>46007</v>
      </c>
      <c r="F3" s="322">
        <v>7.1</v>
      </c>
      <c r="G3" s="45">
        <v>62</v>
      </c>
      <c r="H3" s="43" t="s">
        <v>14</v>
      </c>
      <c r="I3" s="46" t="s">
        <v>15</v>
      </c>
      <c r="J3" s="45"/>
      <c r="K3" s="43" t="s">
        <v>16</v>
      </c>
      <c r="L3" s="45"/>
      <c r="M3" s="247"/>
      <c r="N3" s="48"/>
      <c r="O3" s="272"/>
      <c r="P3" s="346" t="s">
        <v>33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13</v>
      </c>
      <c r="D4" s="52">
        <v>308</v>
      </c>
      <c r="E4" s="53">
        <v>46007</v>
      </c>
      <c r="F4" s="58">
        <v>5.8</v>
      </c>
      <c r="G4" s="54">
        <v>81</v>
      </c>
      <c r="H4" s="55" t="s">
        <v>14</v>
      </c>
      <c r="I4" s="56" t="s">
        <v>15</v>
      </c>
      <c r="J4" s="54"/>
      <c r="K4" s="52" t="s">
        <v>16</v>
      </c>
      <c r="L4" s="54"/>
      <c r="M4" s="248"/>
      <c r="N4" s="58"/>
      <c r="O4" s="273"/>
      <c r="P4" s="346"/>
      <c r="Q4" s="13"/>
    </row>
    <row r="5" spans="1:17" ht="19.5" customHeight="1" thickBot="1" x14ac:dyDescent="0.35">
      <c r="A5" s="37"/>
      <c r="B5" s="50">
        <f t="shared" ref="B5:C15" si="0">B4</f>
        <v>2026</v>
      </c>
      <c r="C5" s="51">
        <f t="shared" si="0"/>
        <v>13</v>
      </c>
      <c r="D5" s="50">
        <v>311</v>
      </c>
      <c r="E5" s="60">
        <v>46007</v>
      </c>
      <c r="F5" s="65">
        <v>4.5</v>
      </c>
      <c r="G5" s="61">
        <v>90</v>
      </c>
      <c r="H5" s="62" t="s">
        <v>14</v>
      </c>
      <c r="I5" s="63" t="s">
        <v>15</v>
      </c>
      <c r="J5" s="61"/>
      <c r="K5" s="50" t="s">
        <v>16</v>
      </c>
      <c r="L5" s="61"/>
      <c r="M5" s="249"/>
      <c r="N5" s="65"/>
      <c r="O5" s="274"/>
      <c r="P5" s="346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0"/>
        <v>13</v>
      </c>
      <c r="D6" s="50">
        <v>315</v>
      </c>
      <c r="E6" s="60">
        <v>46007</v>
      </c>
      <c r="F6" s="65">
        <v>9.6999999999999993</v>
      </c>
      <c r="G6" s="61">
        <v>57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6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0"/>
        <v>13</v>
      </c>
      <c r="D7" s="50">
        <v>322</v>
      </c>
      <c r="E7" s="60">
        <v>46007</v>
      </c>
      <c r="F7" s="65">
        <v>7.6</v>
      </c>
      <c r="G7" s="61">
        <v>67</v>
      </c>
      <c r="H7" s="62" t="s">
        <v>14</v>
      </c>
      <c r="I7" s="63" t="s">
        <v>15</v>
      </c>
      <c r="J7" s="61"/>
      <c r="K7" s="50" t="s">
        <v>16</v>
      </c>
      <c r="L7" s="61"/>
      <c r="M7" s="249"/>
      <c r="N7" s="65"/>
      <c r="O7" s="274"/>
      <c r="P7" s="346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0"/>
        <v>13</v>
      </c>
      <c r="D8" s="50">
        <v>323</v>
      </c>
      <c r="E8" s="60">
        <v>46007</v>
      </c>
      <c r="F8" s="65">
        <v>8</v>
      </c>
      <c r="G8" s="61">
        <v>75</v>
      </c>
      <c r="H8" s="62" t="s">
        <v>14</v>
      </c>
      <c r="I8" s="63" t="s">
        <v>15</v>
      </c>
      <c r="J8" s="61"/>
      <c r="K8" s="50" t="s">
        <v>16</v>
      </c>
      <c r="L8" s="61"/>
      <c r="M8" s="249"/>
      <c r="N8" s="65"/>
      <c r="O8" s="274"/>
      <c r="P8" s="346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0"/>
        <v>13</v>
      </c>
      <c r="D9" s="50">
        <v>327</v>
      </c>
      <c r="E9" s="60">
        <v>46007</v>
      </c>
      <c r="F9" s="65">
        <v>20.6</v>
      </c>
      <c r="G9" s="61">
        <v>39</v>
      </c>
      <c r="H9" s="62" t="s">
        <v>14</v>
      </c>
      <c r="I9" s="63" t="s">
        <v>15</v>
      </c>
      <c r="J9" s="61"/>
      <c r="K9" s="50" t="s">
        <v>16</v>
      </c>
      <c r="L9" s="61"/>
      <c r="M9" s="249"/>
      <c r="N9" s="65"/>
      <c r="O9" s="274"/>
      <c r="P9" s="346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0"/>
        <v>13</v>
      </c>
      <c r="D10" s="50">
        <v>328</v>
      </c>
      <c r="E10" s="60">
        <v>46007</v>
      </c>
      <c r="F10" s="65">
        <v>9</v>
      </c>
      <c r="G10" s="61">
        <v>73</v>
      </c>
      <c r="H10" s="62" t="s">
        <v>14</v>
      </c>
      <c r="I10" s="63" t="s">
        <v>15</v>
      </c>
      <c r="J10" s="61"/>
      <c r="K10" s="50" t="s">
        <v>16</v>
      </c>
      <c r="L10" s="61"/>
      <c r="M10" s="249"/>
      <c r="N10" s="65"/>
      <c r="O10" s="274"/>
      <c r="P10" s="346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0"/>
        <v>13</v>
      </c>
      <c r="D11" s="50">
        <v>329</v>
      </c>
      <c r="E11" s="60">
        <v>46007</v>
      </c>
      <c r="F11" s="65">
        <v>8.9</v>
      </c>
      <c r="G11" s="61">
        <v>68</v>
      </c>
      <c r="H11" s="62" t="s">
        <v>14</v>
      </c>
      <c r="I11" s="63" t="s">
        <v>15</v>
      </c>
      <c r="J11" s="61"/>
      <c r="K11" s="50" t="s">
        <v>16</v>
      </c>
      <c r="L11" s="61"/>
      <c r="M11" s="249"/>
      <c r="N11" s="65"/>
      <c r="O11" s="274"/>
      <c r="P11" s="346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0"/>
        <v>13</v>
      </c>
      <c r="D12" s="50">
        <v>330</v>
      </c>
      <c r="E12" s="60">
        <v>46007</v>
      </c>
      <c r="F12" s="65">
        <v>6.1</v>
      </c>
      <c r="G12" s="61">
        <v>87</v>
      </c>
      <c r="H12" s="62" t="s">
        <v>14</v>
      </c>
      <c r="I12" s="63" t="s">
        <v>15</v>
      </c>
      <c r="J12" s="61"/>
      <c r="K12" s="50" t="s">
        <v>16</v>
      </c>
      <c r="L12" s="61"/>
      <c r="M12" s="249"/>
      <c r="N12" s="65"/>
      <c r="O12" s="274"/>
      <c r="P12" s="346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0"/>
        <v>13</v>
      </c>
      <c r="D13" s="50">
        <v>335</v>
      </c>
      <c r="E13" s="60">
        <v>46007</v>
      </c>
      <c r="F13" s="65">
        <v>8.6999999999999993</v>
      </c>
      <c r="G13" s="61">
        <v>68</v>
      </c>
      <c r="H13" s="62" t="s">
        <v>14</v>
      </c>
      <c r="I13" s="63" t="s">
        <v>15</v>
      </c>
      <c r="J13" s="61"/>
      <c r="K13" s="50" t="s">
        <v>16</v>
      </c>
      <c r="L13" s="61"/>
      <c r="M13" s="249"/>
      <c r="N13" s="65"/>
      <c r="O13" s="274"/>
      <c r="P13" s="346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0"/>
        <v>13</v>
      </c>
      <c r="D14" s="50">
        <v>336</v>
      </c>
      <c r="E14" s="60">
        <v>46007</v>
      </c>
      <c r="F14" s="65">
        <v>10.4</v>
      </c>
      <c r="G14" s="61">
        <v>67</v>
      </c>
      <c r="H14" s="62" t="s">
        <v>14</v>
      </c>
      <c r="I14" s="63" t="s">
        <v>15</v>
      </c>
      <c r="J14" s="61"/>
      <c r="K14" s="50" t="s">
        <v>16</v>
      </c>
      <c r="L14" s="61"/>
      <c r="M14" s="249"/>
      <c r="N14" s="65"/>
      <c r="O14" s="274"/>
      <c r="P14" s="346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0"/>
        <v>13</v>
      </c>
      <c r="D15" s="67">
        <v>338</v>
      </c>
      <c r="E15" s="68">
        <v>46006</v>
      </c>
      <c r="F15" s="72">
        <v>5.7</v>
      </c>
      <c r="G15" s="69">
        <v>92</v>
      </c>
      <c r="H15" s="62" t="s">
        <v>14</v>
      </c>
      <c r="I15" s="70" t="s">
        <v>15</v>
      </c>
      <c r="J15" s="69"/>
      <c r="K15" s="67" t="s">
        <v>16</v>
      </c>
      <c r="L15" s="69"/>
      <c r="M15" s="250"/>
      <c r="N15" s="72"/>
      <c r="O15" s="275"/>
      <c r="P15" s="346"/>
      <c r="Q15" s="13"/>
    </row>
    <row r="16" spans="1:17" ht="19.5" customHeight="1" x14ac:dyDescent="0.3">
      <c r="A16" s="37"/>
      <c r="B16" s="74">
        <f>B15</f>
        <v>2026</v>
      </c>
      <c r="C16" s="75">
        <f>C3</f>
        <v>13</v>
      </c>
      <c r="D16" s="74">
        <v>340</v>
      </c>
      <c r="E16" s="76">
        <v>46006</v>
      </c>
      <c r="F16" s="323">
        <v>13.1</v>
      </c>
      <c r="G16" s="77">
        <v>68</v>
      </c>
      <c r="H16" s="74" t="s">
        <v>14</v>
      </c>
      <c r="I16" s="78" t="s">
        <v>15</v>
      </c>
      <c r="J16" s="78"/>
      <c r="K16" s="74" t="s">
        <v>16</v>
      </c>
      <c r="L16" s="78"/>
      <c r="M16" s="251"/>
      <c r="N16" s="80"/>
      <c r="O16" s="276"/>
      <c r="P16" s="347" t="s">
        <v>12</v>
      </c>
      <c r="Q16" s="13"/>
    </row>
    <row r="17" spans="1:17" ht="19.5" customHeight="1" x14ac:dyDescent="0.3">
      <c r="A17" s="37"/>
      <c r="B17" s="82">
        <f>B16</f>
        <v>2026</v>
      </c>
      <c r="C17" s="82">
        <f>C3</f>
        <v>13</v>
      </c>
      <c r="D17" s="83">
        <v>342</v>
      </c>
      <c r="E17" s="84">
        <v>46006</v>
      </c>
      <c r="F17" s="324">
        <v>10.4</v>
      </c>
      <c r="G17" s="85">
        <v>55</v>
      </c>
      <c r="H17" s="83" t="s">
        <v>14</v>
      </c>
      <c r="I17" s="86" t="s">
        <v>15</v>
      </c>
      <c r="J17" s="86"/>
      <c r="K17" s="83" t="s">
        <v>16</v>
      </c>
      <c r="L17" s="86"/>
      <c r="M17" s="252"/>
      <c r="N17" s="88"/>
      <c r="O17" s="277"/>
      <c r="P17" s="348"/>
      <c r="Q17" s="13"/>
    </row>
    <row r="18" spans="1:17" ht="19.5" customHeight="1" x14ac:dyDescent="0.3">
      <c r="A18" s="37"/>
      <c r="B18" s="82">
        <f t="shared" ref="B18:B19" si="1">B17</f>
        <v>2026</v>
      </c>
      <c r="C18" s="82">
        <f>C3</f>
        <v>13</v>
      </c>
      <c r="D18" s="83">
        <v>343</v>
      </c>
      <c r="E18" s="84">
        <v>46006</v>
      </c>
      <c r="F18" s="324">
        <v>10.8</v>
      </c>
      <c r="G18" s="85">
        <v>71</v>
      </c>
      <c r="H18" s="83" t="s">
        <v>14</v>
      </c>
      <c r="I18" s="86" t="s">
        <v>15</v>
      </c>
      <c r="J18" s="86"/>
      <c r="K18" s="83" t="s">
        <v>16</v>
      </c>
      <c r="L18" s="86"/>
      <c r="M18" s="252"/>
      <c r="N18" s="88"/>
      <c r="O18" s="277"/>
      <c r="P18" s="348"/>
      <c r="Q18" s="13"/>
    </row>
    <row r="19" spans="1:17" ht="19.5" customHeight="1" x14ac:dyDescent="0.3">
      <c r="A19" s="37"/>
      <c r="B19" s="82">
        <f t="shared" si="1"/>
        <v>2026</v>
      </c>
      <c r="C19" s="82">
        <f>C4</f>
        <v>13</v>
      </c>
      <c r="D19" s="83">
        <v>344</v>
      </c>
      <c r="E19" s="84">
        <v>46006</v>
      </c>
      <c r="F19" s="324">
        <v>9.3000000000000007</v>
      </c>
      <c r="G19" s="85">
        <v>63</v>
      </c>
      <c r="H19" s="83" t="s">
        <v>14</v>
      </c>
      <c r="I19" s="86" t="s">
        <v>15</v>
      </c>
      <c r="J19" s="86"/>
      <c r="K19" s="83" t="s">
        <v>16</v>
      </c>
      <c r="L19" s="86"/>
      <c r="M19" s="252"/>
      <c r="N19" s="88"/>
      <c r="O19" s="277"/>
      <c r="P19" s="348"/>
      <c r="Q19" s="13"/>
    </row>
    <row r="20" spans="1:17" ht="19.5" customHeight="1" x14ac:dyDescent="0.3">
      <c r="A20" s="37"/>
      <c r="B20" s="82">
        <f>B19</f>
        <v>2026</v>
      </c>
      <c r="C20" s="82">
        <f>C5</f>
        <v>13</v>
      </c>
      <c r="D20" s="83">
        <v>345</v>
      </c>
      <c r="E20" s="84">
        <v>46006</v>
      </c>
      <c r="F20" s="324">
        <v>8.1999999999999993</v>
      </c>
      <c r="G20" s="85">
        <v>77</v>
      </c>
      <c r="H20" s="83" t="s">
        <v>14</v>
      </c>
      <c r="I20" s="86" t="s">
        <v>15</v>
      </c>
      <c r="J20" s="86"/>
      <c r="K20" s="83" t="s">
        <v>16</v>
      </c>
      <c r="L20" s="86"/>
      <c r="M20" s="252"/>
      <c r="N20" s="88"/>
      <c r="O20" s="277"/>
      <c r="P20" s="348"/>
      <c r="Q20" s="13"/>
    </row>
    <row r="21" spans="1:17" ht="19.5" customHeight="1" x14ac:dyDescent="0.3">
      <c r="A21" s="37"/>
      <c r="B21" s="90">
        <f>B20</f>
        <v>2026</v>
      </c>
      <c r="C21" s="90">
        <f>C6</f>
        <v>13</v>
      </c>
      <c r="D21" s="91">
        <v>346</v>
      </c>
      <c r="E21" s="84">
        <v>46006</v>
      </c>
      <c r="F21" s="324">
        <v>5.2</v>
      </c>
      <c r="G21" s="85">
        <v>74</v>
      </c>
      <c r="H21" s="83" t="s">
        <v>14</v>
      </c>
      <c r="I21" s="86" t="s">
        <v>15</v>
      </c>
      <c r="J21" s="86"/>
      <c r="K21" s="83" t="s">
        <v>16</v>
      </c>
      <c r="L21" s="86"/>
      <c r="M21" s="252"/>
      <c r="N21" s="88"/>
      <c r="O21" s="277"/>
      <c r="P21" s="348"/>
      <c r="Q21" s="13"/>
    </row>
    <row r="22" spans="1:17" ht="19.5" customHeight="1" x14ac:dyDescent="0.3">
      <c r="A22" s="37"/>
      <c r="B22" s="92">
        <f t="shared" ref="B22" si="2">B21</f>
        <v>2026</v>
      </c>
      <c r="C22" s="82">
        <f>C7</f>
        <v>13</v>
      </c>
      <c r="D22" s="83">
        <v>347</v>
      </c>
      <c r="E22" s="93">
        <v>46006</v>
      </c>
      <c r="F22" s="325">
        <v>2.8</v>
      </c>
      <c r="G22" s="85">
        <v>168</v>
      </c>
      <c r="H22" s="83" t="s">
        <v>14</v>
      </c>
      <c r="I22" s="86" t="s">
        <v>15</v>
      </c>
      <c r="J22" s="86"/>
      <c r="K22" s="83" t="s">
        <v>16</v>
      </c>
      <c r="L22" s="86"/>
      <c r="M22" s="252"/>
      <c r="N22" s="88"/>
      <c r="O22" s="277"/>
      <c r="P22" s="348"/>
      <c r="Q22" s="13"/>
    </row>
    <row r="23" spans="1:17" ht="19.5" customHeight="1" x14ac:dyDescent="0.3">
      <c r="A23" s="37"/>
      <c r="B23" s="82">
        <f>B22</f>
        <v>2026</v>
      </c>
      <c r="C23" s="94">
        <f>C5</f>
        <v>13</v>
      </c>
      <c r="D23" s="95">
        <v>348</v>
      </c>
      <c r="E23" s="84">
        <v>46006</v>
      </c>
      <c r="F23" s="324">
        <v>2.4</v>
      </c>
      <c r="G23" s="85">
        <v>159</v>
      </c>
      <c r="H23" s="83" t="s">
        <v>14</v>
      </c>
      <c r="I23" s="86" t="s">
        <v>15</v>
      </c>
      <c r="J23" s="86"/>
      <c r="K23" s="83" t="s">
        <v>16</v>
      </c>
      <c r="L23" s="86"/>
      <c r="M23" s="252"/>
      <c r="N23" s="96"/>
      <c r="O23" s="278"/>
      <c r="P23" s="348"/>
      <c r="Q23" s="13"/>
    </row>
    <row r="24" spans="1:17" ht="19.5" customHeight="1" thickBot="1" x14ac:dyDescent="0.35">
      <c r="A24" s="37"/>
      <c r="B24" s="98">
        <f>B23</f>
        <v>2026</v>
      </c>
      <c r="C24" s="90">
        <f>C6</f>
        <v>13</v>
      </c>
      <c r="D24" s="99">
        <v>349</v>
      </c>
      <c r="E24" s="100">
        <v>46006</v>
      </c>
      <c r="F24" s="326">
        <v>6.8</v>
      </c>
      <c r="G24" s="101">
        <v>136</v>
      </c>
      <c r="H24" s="99" t="s">
        <v>14</v>
      </c>
      <c r="I24" s="102" t="s">
        <v>15</v>
      </c>
      <c r="J24" s="102"/>
      <c r="K24" s="99" t="s">
        <v>16</v>
      </c>
      <c r="L24" s="102"/>
      <c r="M24" s="253"/>
      <c r="N24" s="104"/>
      <c r="O24" s="279"/>
      <c r="P24" s="349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13</v>
      </c>
      <c r="D25" s="106">
        <v>401</v>
      </c>
      <c r="E25" s="108">
        <v>46006</v>
      </c>
      <c r="F25" s="327">
        <v>6.9</v>
      </c>
      <c r="G25" s="109">
        <v>78</v>
      </c>
      <c r="H25" s="106" t="s">
        <v>14</v>
      </c>
      <c r="I25" s="110" t="s">
        <v>15</v>
      </c>
      <c r="J25" s="110"/>
      <c r="K25" s="106" t="s">
        <v>16</v>
      </c>
      <c r="L25" s="110"/>
      <c r="M25" s="254"/>
      <c r="N25" s="112"/>
      <c r="O25" s="280"/>
      <c r="P25" s="350" t="s">
        <v>34</v>
      </c>
      <c r="Q25" s="13"/>
    </row>
    <row r="26" spans="1:17" ht="19.5" customHeight="1" thickBot="1" x14ac:dyDescent="0.35">
      <c r="A26" s="37"/>
      <c r="B26" s="106">
        <f t="shared" ref="B26:B61" si="3">B25</f>
        <v>2026</v>
      </c>
      <c r="C26" s="114">
        <f>C3</f>
        <v>13</v>
      </c>
      <c r="D26" s="115">
        <v>404</v>
      </c>
      <c r="E26" s="116">
        <v>46007</v>
      </c>
      <c r="F26" s="327">
        <v>7.6</v>
      </c>
      <c r="G26" s="109">
        <v>80</v>
      </c>
      <c r="H26" s="115" t="s">
        <v>14</v>
      </c>
      <c r="I26" s="117" t="s">
        <v>15</v>
      </c>
      <c r="J26" s="117"/>
      <c r="K26" s="115" t="s">
        <v>16</v>
      </c>
      <c r="L26" s="117"/>
      <c r="M26" s="255"/>
      <c r="N26" s="119"/>
      <c r="O26" s="281"/>
      <c r="P26" s="350"/>
      <c r="Q26" s="13"/>
    </row>
    <row r="27" spans="1:17" ht="19.5" customHeight="1" thickBot="1" x14ac:dyDescent="0.35">
      <c r="A27" s="37"/>
      <c r="B27" s="121">
        <f t="shared" si="3"/>
        <v>2026</v>
      </c>
      <c r="C27" s="121">
        <f>C3</f>
        <v>13</v>
      </c>
      <c r="D27" s="122">
        <v>405</v>
      </c>
      <c r="E27" s="123">
        <v>46007</v>
      </c>
      <c r="F27" s="126">
        <v>8.1999999999999993</v>
      </c>
      <c r="G27" s="124">
        <v>76</v>
      </c>
      <c r="H27" s="122" t="s">
        <v>14</v>
      </c>
      <c r="I27" s="124" t="s">
        <v>15</v>
      </c>
      <c r="J27" s="124"/>
      <c r="K27" s="122" t="s">
        <v>16</v>
      </c>
      <c r="L27" s="124"/>
      <c r="M27" s="256"/>
      <c r="N27" s="126"/>
      <c r="O27" s="282"/>
      <c r="P27" s="350"/>
      <c r="Q27" s="13"/>
    </row>
    <row r="28" spans="1:17" ht="19.5" customHeight="1" thickBot="1" x14ac:dyDescent="0.35">
      <c r="A28" s="37"/>
      <c r="B28" s="128">
        <f t="shared" si="3"/>
        <v>2026</v>
      </c>
      <c r="C28" s="128">
        <f>C3</f>
        <v>13</v>
      </c>
      <c r="D28" s="129">
        <v>411</v>
      </c>
      <c r="E28" s="130">
        <v>46008</v>
      </c>
      <c r="F28" s="133">
        <v>12.9</v>
      </c>
      <c r="G28" s="131">
        <v>68</v>
      </c>
      <c r="H28" s="129" t="s">
        <v>14</v>
      </c>
      <c r="I28" s="131" t="s">
        <v>15</v>
      </c>
      <c r="J28" s="131"/>
      <c r="K28" s="129" t="s">
        <v>16</v>
      </c>
      <c r="L28" s="131"/>
      <c r="M28" s="257"/>
      <c r="N28" s="133"/>
      <c r="O28" s="283"/>
      <c r="P28" s="351" t="s">
        <v>35</v>
      </c>
      <c r="Q28" s="13"/>
    </row>
    <row r="29" spans="1:17" ht="19.5" customHeight="1" thickBot="1" x14ac:dyDescent="0.35">
      <c r="A29" s="37"/>
      <c r="B29" s="135">
        <f t="shared" si="3"/>
        <v>2026</v>
      </c>
      <c r="C29" s="135">
        <f>C3</f>
        <v>13</v>
      </c>
      <c r="D29" s="136">
        <v>418</v>
      </c>
      <c r="E29" s="137">
        <v>46008</v>
      </c>
      <c r="F29" s="140">
        <v>7.3</v>
      </c>
      <c r="G29" s="138">
        <v>77</v>
      </c>
      <c r="H29" s="136" t="s">
        <v>14</v>
      </c>
      <c r="I29" s="138" t="s">
        <v>15</v>
      </c>
      <c r="J29" s="138"/>
      <c r="K29" s="136" t="s">
        <v>16</v>
      </c>
      <c r="L29" s="138"/>
      <c r="M29" s="258"/>
      <c r="N29" s="140"/>
      <c r="O29" s="284"/>
      <c r="P29" s="351"/>
      <c r="Q29" s="13"/>
    </row>
    <row r="30" spans="1:17" ht="19.5" customHeight="1" thickBot="1" x14ac:dyDescent="0.35">
      <c r="A30" s="37"/>
      <c r="B30" s="135">
        <f t="shared" si="3"/>
        <v>2026</v>
      </c>
      <c r="C30" s="135">
        <f>C3</f>
        <v>13</v>
      </c>
      <c r="D30" s="136">
        <v>501</v>
      </c>
      <c r="E30" s="142">
        <v>46008</v>
      </c>
      <c r="F30" s="328">
        <v>22.8</v>
      </c>
      <c r="G30" s="143">
        <v>53</v>
      </c>
      <c r="H30" s="136" t="s">
        <v>14</v>
      </c>
      <c r="I30" s="138" t="s">
        <v>15</v>
      </c>
      <c r="J30" s="138"/>
      <c r="K30" s="136" t="s">
        <v>16</v>
      </c>
      <c r="L30" s="138"/>
      <c r="M30" s="258"/>
      <c r="N30" s="140"/>
      <c r="O30" s="284"/>
      <c r="P30" s="351"/>
      <c r="Q30" s="13"/>
    </row>
    <row r="31" spans="1:17" ht="19.5" customHeight="1" thickBot="1" x14ac:dyDescent="0.35">
      <c r="A31" s="37"/>
      <c r="B31" s="135">
        <f t="shared" si="3"/>
        <v>2026</v>
      </c>
      <c r="C31" s="135">
        <f>C3</f>
        <v>13</v>
      </c>
      <c r="D31" s="136">
        <v>504</v>
      </c>
      <c r="E31" s="137">
        <v>46008</v>
      </c>
      <c r="F31" s="140">
        <v>12.4</v>
      </c>
      <c r="G31" s="138">
        <v>53</v>
      </c>
      <c r="H31" s="136" t="s">
        <v>14</v>
      </c>
      <c r="I31" s="138" t="s">
        <v>15</v>
      </c>
      <c r="J31" s="138"/>
      <c r="K31" s="136" t="s">
        <v>16</v>
      </c>
      <c r="L31" s="138"/>
      <c r="M31" s="258"/>
      <c r="N31" s="140"/>
      <c r="O31" s="284"/>
      <c r="P31" s="351"/>
      <c r="Q31" s="13"/>
    </row>
    <row r="32" spans="1:17" ht="19.5" customHeight="1" thickBot="1" x14ac:dyDescent="0.35">
      <c r="A32" s="37"/>
      <c r="B32" s="135">
        <f t="shared" si="3"/>
        <v>2026</v>
      </c>
      <c r="C32" s="135">
        <f>C3</f>
        <v>13</v>
      </c>
      <c r="D32" s="136">
        <v>519</v>
      </c>
      <c r="E32" s="137">
        <v>46008</v>
      </c>
      <c r="F32" s="140">
        <v>19.7</v>
      </c>
      <c r="G32" s="138">
        <v>44</v>
      </c>
      <c r="H32" s="136" t="s">
        <v>14</v>
      </c>
      <c r="I32" s="138" t="s">
        <v>15</v>
      </c>
      <c r="J32" s="138"/>
      <c r="K32" s="136" t="s">
        <v>16</v>
      </c>
      <c r="L32" s="138"/>
      <c r="M32" s="258"/>
      <c r="N32" s="140"/>
      <c r="O32" s="284"/>
      <c r="P32" s="351"/>
      <c r="Q32" s="13"/>
    </row>
    <row r="33" spans="1:17" ht="19.5" customHeight="1" thickBot="1" x14ac:dyDescent="0.35">
      <c r="A33" s="37"/>
      <c r="B33" s="135">
        <f t="shared" si="3"/>
        <v>2026</v>
      </c>
      <c r="C33" s="135">
        <f>C3</f>
        <v>13</v>
      </c>
      <c r="D33" s="136">
        <v>602</v>
      </c>
      <c r="E33" s="142">
        <v>46008</v>
      </c>
      <c r="F33" s="328">
        <v>12.9</v>
      </c>
      <c r="G33" s="143">
        <v>64</v>
      </c>
      <c r="H33" s="136" t="s">
        <v>14</v>
      </c>
      <c r="I33" s="138" t="s">
        <v>15</v>
      </c>
      <c r="J33" s="138"/>
      <c r="K33" s="136" t="s">
        <v>16</v>
      </c>
      <c r="L33" s="138"/>
      <c r="M33" s="258"/>
      <c r="N33" s="140"/>
      <c r="O33" s="284"/>
      <c r="P33" s="351"/>
      <c r="Q33" s="13"/>
    </row>
    <row r="34" spans="1:17" ht="19.5" customHeight="1" thickBot="1" x14ac:dyDescent="0.35">
      <c r="A34" s="37"/>
      <c r="B34" s="135">
        <f t="shared" si="3"/>
        <v>2026</v>
      </c>
      <c r="C34" s="135">
        <f>C3</f>
        <v>13</v>
      </c>
      <c r="D34" s="136">
        <v>606</v>
      </c>
      <c r="E34" s="137">
        <v>46008</v>
      </c>
      <c r="F34" s="140">
        <v>14.6</v>
      </c>
      <c r="G34" s="138">
        <v>55</v>
      </c>
      <c r="H34" s="136" t="s">
        <v>14</v>
      </c>
      <c r="I34" s="138" t="s">
        <v>15</v>
      </c>
      <c r="J34" s="138"/>
      <c r="K34" s="136" t="s">
        <v>16</v>
      </c>
      <c r="L34" s="138"/>
      <c r="M34" s="258"/>
      <c r="N34" s="140"/>
      <c r="O34" s="284"/>
      <c r="P34" s="351"/>
      <c r="Q34" s="13"/>
    </row>
    <row r="35" spans="1:17" ht="19.5" customHeight="1" thickBot="1" x14ac:dyDescent="0.35">
      <c r="A35" s="37"/>
      <c r="B35" s="135">
        <f t="shared" si="3"/>
        <v>2026</v>
      </c>
      <c r="C35" s="135">
        <f>C3</f>
        <v>13</v>
      </c>
      <c r="D35" s="136">
        <v>609</v>
      </c>
      <c r="E35" s="137">
        <v>46008</v>
      </c>
      <c r="F35" s="140">
        <v>14.4</v>
      </c>
      <c r="G35" s="138">
        <v>52</v>
      </c>
      <c r="H35" s="136" t="s">
        <v>14</v>
      </c>
      <c r="I35" s="138" t="s">
        <v>15</v>
      </c>
      <c r="J35" s="138"/>
      <c r="K35" s="136" t="s">
        <v>16</v>
      </c>
      <c r="L35" s="138"/>
      <c r="M35" s="258"/>
      <c r="N35" s="140"/>
      <c r="O35" s="284"/>
      <c r="P35" s="351"/>
      <c r="Q35" s="13"/>
    </row>
    <row r="36" spans="1:17" ht="19.5" customHeight="1" thickBot="1" x14ac:dyDescent="0.35">
      <c r="A36" s="37"/>
      <c r="B36" s="144">
        <f t="shared" si="3"/>
        <v>2026</v>
      </c>
      <c r="C36" s="145">
        <f>C3</f>
        <v>13</v>
      </c>
      <c r="D36" s="146">
        <v>610</v>
      </c>
      <c r="E36" s="147">
        <v>46008</v>
      </c>
      <c r="F36" s="329">
        <v>16.7</v>
      </c>
      <c r="G36" s="148">
        <v>49</v>
      </c>
      <c r="H36" s="146" t="s">
        <v>14</v>
      </c>
      <c r="I36" s="149" t="s">
        <v>15</v>
      </c>
      <c r="J36" s="149"/>
      <c r="K36" s="146" t="s">
        <v>16</v>
      </c>
      <c r="L36" s="149"/>
      <c r="M36" s="259"/>
      <c r="N36" s="151"/>
      <c r="O36" s="285"/>
      <c r="P36" s="351"/>
      <c r="Q36" s="13"/>
    </row>
    <row r="37" spans="1:17" ht="19.5" customHeight="1" thickBot="1" x14ac:dyDescent="0.35">
      <c r="A37" s="37"/>
      <c r="B37" s="153">
        <f t="shared" si="3"/>
        <v>2026</v>
      </c>
      <c r="C37" s="154">
        <f>C3</f>
        <v>13</v>
      </c>
      <c r="D37" s="155">
        <v>508</v>
      </c>
      <c r="E37" s="156">
        <v>46008</v>
      </c>
      <c r="F37" s="330">
        <v>14.9</v>
      </c>
      <c r="G37" s="157">
        <v>49</v>
      </c>
      <c r="H37" s="158" t="s">
        <v>14</v>
      </c>
      <c r="I37" s="158" t="s">
        <v>15</v>
      </c>
      <c r="J37" s="158"/>
      <c r="K37" s="155" t="s">
        <v>16</v>
      </c>
      <c r="L37" s="158"/>
      <c r="M37" s="260"/>
      <c r="N37" s="160"/>
      <c r="O37" s="286"/>
      <c r="P37" s="352" t="s">
        <v>13</v>
      </c>
      <c r="Q37" s="13"/>
    </row>
    <row r="38" spans="1:17" ht="19.5" customHeight="1" thickBot="1" x14ac:dyDescent="0.35">
      <c r="A38" s="37"/>
      <c r="B38" s="162">
        <f t="shared" si="3"/>
        <v>2026</v>
      </c>
      <c r="C38" s="154">
        <f>C3</f>
        <v>13</v>
      </c>
      <c r="D38" s="163">
        <v>513</v>
      </c>
      <c r="E38" s="164">
        <v>46007</v>
      </c>
      <c r="F38" s="331">
        <v>10.1</v>
      </c>
      <c r="G38" s="165">
        <v>57</v>
      </c>
      <c r="H38" s="166" t="s">
        <v>14</v>
      </c>
      <c r="I38" s="166" t="s">
        <v>26</v>
      </c>
      <c r="J38" s="166">
        <v>1</v>
      </c>
      <c r="K38" s="163" t="s">
        <v>16</v>
      </c>
      <c r="L38" s="166">
        <v>6</v>
      </c>
      <c r="M38" s="261">
        <v>6</v>
      </c>
      <c r="N38" s="168">
        <v>6</v>
      </c>
      <c r="O38" s="287">
        <v>1</v>
      </c>
      <c r="P38" s="352"/>
      <c r="Q38" s="13"/>
    </row>
    <row r="39" spans="1:17" ht="19.5" customHeight="1" thickBot="1" x14ac:dyDescent="0.35">
      <c r="A39" s="37"/>
      <c r="B39" s="162">
        <f t="shared" si="3"/>
        <v>2026</v>
      </c>
      <c r="C39" s="154">
        <f>C3</f>
        <v>13</v>
      </c>
      <c r="D39" s="163">
        <v>520</v>
      </c>
      <c r="E39" s="164">
        <v>46007</v>
      </c>
      <c r="F39" s="331">
        <v>8.1999999999999993</v>
      </c>
      <c r="G39" s="165">
        <v>68</v>
      </c>
      <c r="H39" s="166" t="s">
        <v>14</v>
      </c>
      <c r="I39" s="166" t="s">
        <v>15</v>
      </c>
      <c r="J39" s="166"/>
      <c r="K39" s="163" t="s">
        <v>16</v>
      </c>
      <c r="L39" s="166"/>
      <c r="M39" s="261"/>
      <c r="N39" s="168"/>
      <c r="O39" s="287"/>
      <c r="P39" s="352"/>
      <c r="Q39" s="13"/>
    </row>
    <row r="40" spans="1:17" ht="19.5" customHeight="1" thickBot="1" x14ac:dyDescent="0.35">
      <c r="A40" s="37"/>
      <c r="B40" s="162">
        <f t="shared" si="3"/>
        <v>2026</v>
      </c>
      <c r="C40" s="154">
        <f>C3</f>
        <v>13</v>
      </c>
      <c r="D40" s="163">
        <v>801</v>
      </c>
      <c r="E40" s="164">
        <v>46008</v>
      </c>
      <c r="F40" s="331">
        <v>7.5</v>
      </c>
      <c r="G40" s="165">
        <v>79</v>
      </c>
      <c r="H40" s="166" t="s">
        <v>14</v>
      </c>
      <c r="I40" s="166" t="s">
        <v>15</v>
      </c>
      <c r="J40" s="166"/>
      <c r="K40" s="163" t="s">
        <v>16</v>
      </c>
      <c r="L40" s="166"/>
      <c r="M40" s="261"/>
      <c r="N40" s="168"/>
      <c r="O40" s="287"/>
      <c r="P40" s="352"/>
      <c r="Q40" s="13"/>
    </row>
    <row r="41" spans="1:17" ht="19.5" customHeight="1" thickBot="1" x14ac:dyDescent="0.35">
      <c r="A41" s="37"/>
      <c r="B41" s="170">
        <f t="shared" si="3"/>
        <v>2026</v>
      </c>
      <c r="C41" s="171">
        <f>C3</f>
        <v>13</v>
      </c>
      <c r="D41" s="172">
        <v>804</v>
      </c>
      <c r="E41" s="173">
        <v>46007</v>
      </c>
      <c r="F41" s="332">
        <v>9.6</v>
      </c>
      <c r="G41" s="174">
        <v>63</v>
      </c>
      <c r="H41" s="175" t="s">
        <v>14</v>
      </c>
      <c r="I41" s="175" t="s">
        <v>15</v>
      </c>
      <c r="J41" s="175"/>
      <c r="K41" s="172" t="s">
        <v>16</v>
      </c>
      <c r="L41" s="175"/>
      <c r="M41" s="262"/>
      <c r="N41" s="177"/>
      <c r="O41" s="288"/>
      <c r="P41" s="352"/>
      <c r="Q41" s="13"/>
    </row>
    <row r="42" spans="1:17" ht="19.5" customHeight="1" x14ac:dyDescent="0.3">
      <c r="A42" s="37"/>
      <c r="B42" s="179">
        <f t="shared" si="3"/>
        <v>2026</v>
      </c>
      <c r="C42" s="180">
        <f>C3</f>
        <v>13</v>
      </c>
      <c r="D42" s="181">
        <v>703</v>
      </c>
      <c r="E42" s="182">
        <v>46007</v>
      </c>
      <c r="F42" s="333">
        <v>10.1</v>
      </c>
      <c r="G42" s="183">
        <v>67</v>
      </c>
      <c r="H42" s="184" t="s">
        <v>14</v>
      </c>
      <c r="I42" s="185" t="s">
        <v>26</v>
      </c>
      <c r="J42" s="185">
        <v>1</v>
      </c>
      <c r="K42" s="181" t="s">
        <v>16</v>
      </c>
      <c r="L42" s="185">
        <v>8</v>
      </c>
      <c r="M42" s="263">
        <v>8</v>
      </c>
      <c r="N42" s="187">
        <v>8</v>
      </c>
      <c r="O42" s="289">
        <v>1</v>
      </c>
      <c r="P42" s="353" t="s">
        <v>36</v>
      </c>
      <c r="Q42" s="13"/>
    </row>
    <row r="43" spans="1:17" ht="19.5" customHeight="1" x14ac:dyDescent="0.3">
      <c r="A43" s="37"/>
      <c r="B43" s="189">
        <f t="shared" si="3"/>
        <v>2026</v>
      </c>
      <c r="C43" s="190">
        <f>C3</f>
        <v>13</v>
      </c>
      <c r="D43" s="191">
        <v>704</v>
      </c>
      <c r="E43" s="192">
        <v>46007</v>
      </c>
      <c r="F43" s="334">
        <v>14.6</v>
      </c>
      <c r="G43" s="193">
        <v>53</v>
      </c>
      <c r="H43" s="184" t="s">
        <v>14</v>
      </c>
      <c r="I43" s="194" t="s">
        <v>15</v>
      </c>
      <c r="J43" s="194"/>
      <c r="K43" s="191" t="s">
        <v>16</v>
      </c>
      <c r="L43" s="194"/>
      <c r="M43" s="264"/>
      <c r="N43" s="196"/>
      <c r="O43" s="290"/>
      <c r="P43" s="354"/>
      <c r="Q43" s="13"/>
    </row>
    <row r="44" spans="1:17" ht="19.5" customHeight="1" x14ac:dyDescent="0.3">
      <c r="A44" s="37"/>
      <c r="B44" s="189">
        <f t="shared" si="3"/>
        <v>2026</v>
      </c>
      <c r="C44" s="190">
        <f>C3</f>
        <v>13</v>
      </c>
      <c r="D44" s="191">
        <v>705</v>
      </c>
      <c r="E44" s="192">
        <v>46007</v>
      </c>
      <c r="F44" s="334">
        <v>4.5</v>
      </c>
      <c r="G44" s="193">
        <v>142</v>
      </c>
      <c r="H44" s="184" t="s">
        <v>14</v>
      </c>
      <c r="I44" s="194" t="s">
        <v>15</v>
      </c>
      <c r="J44" s="194"/>
      <c r="K44" s="191" t="s">
        <v>16</v>
      </c>
      <c r="L44" s="194"/>
      <c r="M44" s="264"/>
      <c r="N44" s="196"/>
      <c r="O44" s="290"/>
      <c r="P44" s="354"/>
      <c r="Q44" s="13"/>
    </row>
    <row r="45" spans="1:17" ht="19.5" customHeight="1" x14ac:dyDescent="0.3">
      <c r="A45" s="37"/>
      <c r="B45" s="189">
        <f t="shared" si="3"/>
        <v>2026</v>
      </c>
      <c r="C45" s="190">
        <f>C3</f>
        <v>13</v>
      </c>
      <c r="D45" s="191">
        <v>706</v>
      </c>
      <c r="E45" s="192">
        <v>46007</v>
      </c>
      <c r="F45" s="334">
        <v>7.5</v>
      </c>
      <c r="G45" s="193">
        <v>73</v>
      </c>
      <c r="H45" s="184" t="s">
        <v>14</v>
      </c>
      <c r="I45" s="194" t="s">
        <v>15</v>
      </c>
      <c r="J45" s="194"/>
      <c r="K45" s="191" t="s">
        <v>16</v>
      </c>
      <c r="L45" s="194"/>
      <c r="M45" s="264"/>
      <c r="N45" s="196"/>
      <c r="O45" s="290"/>
      <c r="P45" s="354"/>
      <c r="Q45" s="13"/>
    </row>
    <row r="46" spans="1:17" ht="19.5" customHeight="1" x14ac:dyDescent="0.3">
      <c r="A46" s="37"/>
      <c r="B46" s="189">
        <f t="shared" si="3"/>
        <v>2026</v>
      </c>
      <c r="C46" s="190">
        <f>C3</f>
        <v>13</v>
      </c>
      <c r="D46" s="191">
        <v>707</v>
      </c>
      <c r="E46" s="192">
        <v>46007</v>
      </c>
      <c r="F46" s="334">
        <v>4</v>
      </c>
      <c r="G46" s="193">
        <v>165</v>
      </c>
      <c r="H46" s="184" t="s">
        <v>14</v>
      </c>
      <c r="I46" s="194" t="s">
        <v>26</v>
      </c>
      <c r="J46" s="194">
        <v>1</v>
      </c>
      <c r="K46" s="191" t="s">
        <v>16</v>
      </c>
      <c r="L46" s="194">
        <v>6</v>
      </c>
      <c r="M46" s="264">
        <v>6</v>
      </c>
      <c r="N46" s="196">
        <v>6</v>
      </c>
      <c r="O46" s="290">
        <v>1</v>
      </c>
      <c r="P46" s="354"/>
      <c r="Q46" s="13"/>
    </row>
    <row r="47" spans="1:17" ht="19.5" customHeight="1" x14ac:dyDescent="0.3">
      <c r="A47" s="37"/>
      <c r="B47" s="189">
        <f t="shared" si="3"/>
        <v>2026</v>
      </c>
      <c r="C47" s="190">
        <f>C3</f>
        <v>13</v>
      </c>
      <c r="D47" s="191">
        <v>711</v>
      </c>
      <c r="E47" s="192">
        <v>46007</v>
      </c>
      <c r="F47" s="334">
        <v>4.5</v>
      </c>
      <c r="G47" s="193">
        <v>200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4"/>
      <c r="Q47" s="13"/>
    </row>
    <row r="48" spans="1:17" ht="19.5" customHeight="1" x14ac:dyDescent="0.3">
      <c r="A48" s="37"/>
      <c r="B48" s="198">
        <f t="shared" si="3"/>
        <v>2026</v>
      </c>
      <c r="C48" s="198">
        <f>C3</f>
        <v>13</v>
      </c>
      <c r="D48" s="199">
        <v>716</v>
      </c>
      <c r="E48" s="200">
        <v>46007</v>
      </c>
      <c r="F48" s="335">
        <v>3.8</v>
      </c>
      <c r="G48" s="201">
        <v>200</v>
      </c>
      <c r="H48" s="202" t="s">
        <v>14</v>
      </c>
      <c r="I48" s="201" t="s">
        <v>15</v>
      </c>
      <c r="J48" s="201"/>
      <c r="K48" s="199" t="s">
        <v>16</v>
      </c>
      <c r="L48" s="265"/>
      <c r="M48" s="266"/>
      <c r="N48" s="204"/>
      <c r="O48" s="291"/>
      <c r="P48" s="354"/>
      <c r="Q48" s="13"/>
    </row>
    <row r="49" spans="1:17" ht="19.5" customHeight="1" thickBot="1" x14ac:dyDescent="0.35">
      <c r="A49" s="37"/>
      <c r="B49" s="189">
        <f t="shared" si="3"/>
        <v>2026</v>
      </c>
      <c r="C49" s="190">
        <f>C3</f>
        <v>13</v>
      </c>
      <c r="D49" s="191">
        <v>723</v>
      </c>
      <c r="E49" s="192">
        <v>46007</v>
      </c>
      <c r="F49" s="334">
        <v>4.4000000000000004</v>
      </c>
      <c r="G49" s="193">
        <v>200</v>
      </c>
      <c r="H49" s="184" t="s">
        <v>14</v>
      </c>
      <c r="I49" s="193" t="s">
        <v>15</v>
      </c>
      <c r="J49" s="194"/>
      <c r="K49" s="184" t="s">
        <v>16</v>
      </c>
      <c r="L49" s="193"/>
      <c r="M49" s="267"/>
      <c r="N49" s="207"/>
      <c r="O49" s="292"/>
      <c r="P49" s="355"/>
      <c r="Q49" s="13"/>
    </row>
    <row r="50" spans="1:17" ht="19.5" customHeight="1" thickBot="1" x14ac:dyDescent="0.35">
      <c r="A50" s="37"/>
      <c r="B50" s="209">
        <v>2026</v>
      </c>
      <c r="C50" s="210">
        <f>C3</f>
        <v>13</v>
      </c>
      <c r="D50" s="211">
        <v>809</v>
      </c>
      <c r="E50" s="212">
        <v>46006</v>
      </c>
      <c r="F50" s="336">
        <v>4</v>
      </c>
      <c r="G50" s="213">
        <v>152</v>
      </c>
      <c r="H50" s="211" t="s">
        <v>14</v>
      </c>
      <c r="I50" s="214" t="s">
        <v>15</v>
      </c>
      <c r="J50" s="214"/>
      <c r="K50" s="211" t="s">
        <v>16</v>
      </c>
      <c r="L50" s="214"/>
      <c r="M50" s="268"/>
      <c r="N50" s="216"/>
      <c r="O50" s="293"/>
      <c r="P50" s="345" t="s">
        <v>30</v>
      </c>
      <c r="Q50" s="13"/>
    </row>
    <row r="51" spans="1:17" ht="19.5" customHeight="1" thickBot="1" x14ac:dyDescent="0.35">
      <c r="A51" s="37"/>
      <c r="B51" s="218">
        <f t="shared" si="3"/>
        <v>2026</v>
      </c>
      <c r="C51" s="219">
        <f>C3</f>
        <v>13</v>
      </c>
      <c r="D51" s="220">
        <v>812</v>
      </c>
      <c r="E51" s="221">
        <v>46006</v>
      </c>
      <c r="F51" s="337">
        <v>4.4000000000000004</v>
      </c>
      <c r="G51" s="222">
        <v>150</v>
      </c>
      <c r="H51" s="220" t="s">
        <v>14</v>
      </c>
      <c r="I51" s="223" t="s">
        <v>15</v>
      </c>
      <c r="J51" s="223"/>
      <c r="K51" s="220" t="s">
        <v>16</v>
      </c>
      <c r="L51" s="223"/>
      <c r="M51" s="269"/>
      <c r="N51" s="225"/>
      <c r="O51" s="294"/>
      <c r="P51" s="345"/>
      <c r="Q51" s="13"/>
    </row>
    <row r="52" spans="1:17" ht="19.5" customHeight="1" thickBot="1" x14ac:dyDescent="0.35">
      <c r="A52" s="37"/>
      <c r="B52" s="227">
        <f t="shared" si="3"/>
        <v>2026</v>
      </c>
      <c r="C52" s="228">
        <f>C3</f>
        <v>13</v>
      </c>
      <c r="D52" s="229">
        <v>815</v>
      </c>
      <c r="E52" s="230">
        <v>46006</v>
      </c>
      <c r="F52" s="338">
        <v>3.5</v>
      </c>
      <c r="G52" s="231">
        <v>141</v>
      </c>
      <c r="H52" s="232" t="s">
        <v>14</v>
      </c>
      <c r="I52" s="233" t="s">
        <v>15</v>
      </c>
      <c r="J52" s="233"/>
      <c r="K52" s="229" t="s">
        <v>16</v>
      </c>
      <c r="L52" s="233"/>
      <c r="M52" s="270"/>
      <c r="N52" s="235"/>
      <c r="O52" s="295"/>
      <c r="P52" s="345"/>
      <c r="Q52" s="13"/>
    </row>
    <row r="53" spans="1:17" ht="19.5" customHeight="1" thickBot="1" x14ac:dyDescent="0.35">
      <c r="A53" s="37"/>
      <c r="B53" s="227">
        <f t="shared" si="3"/>
        <v>2026</v>
      </c>
      <c r="C53" s="228">
        <f>C3</f>
        <v>13</v>
      </c>
      <c r="D53" s="229" t="s">
        <v>23</v>
      </c>
      <c r="E53" s="237">
        <v>46006</v>
      </c>
      <c r="F53" s="339">
        <v>3.8</v>
      </c>
      <c r="G53" s="231">
        <v>135</v>
      </c>
      <c r="H53" s="232" t="s">
        <v>14</v>
      </c>
      <c r="I53" s="233" t="s">
        <v>15</v>
      </c>
      <c r="J53" s="233"/>
      <c r="K53" s="229" t="s">
        <v>16</v>
      </c>
      <c r="L53" s="233"/>
      <c r="M53" s="270"/>
      <c r="N53" s="235"/>
      <c r="O53" s="295"/>
      <c r="P53" s="345"/>
      <c r="Q53" s="13"/>
    </row>
    <row r="54" spans="1:17" ht="19.5" customHeight="1" thickBot="1" x14ac:dyDescent="0.35">
      <c r="A54" s="37"/>
      <c r="B54" s="227">
        <f t="shared" si="3"/>
        <v>2026</v>
      </c>
      <c r="C54" s="228">
        <f>C3</f>
        <v>13</v>
      </c>
      <c r="D54" s="229" t="s">
        <v>24</v>
      </c>
      <c r="E54" s="237">
        <v>46006</v>
      </c>
      <c r="F54" s="339">
        <v>1.8</v>
      </c>
      <c r="G54" s="231">
        <v>200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5"/>
      <c r="Q54" s="13"/>
    </row>
    <row r="55" spans="1:17" ht="19.5" customHeight="1" thickBot="1" x14ac:dyDescent="0.35">
      <c r="A55" s="37"/>
      <c r="B55" s="227">
        <f t="shared" si="3"/>
        <v>2026</v>
      </c>
      <c r="C55" s="228">
        <f>C3</f>
        <v>13</v>
      </c>
      <c r="D55" s="229">
        <v>906</v>
      </c>
      <c r="E55" s="237">
        <v>46006</v>
      </c>
      <c r="F55" s="339">
        <v>7.2</v>
      </c>
      <c r="G55" s="231">
        <v>137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5"/>
      <c r="Q55" s="13"/>
    </row>
    <row r="56" spans="1:17" ht="19.5" customHeight="1" thickBot="1" x14ac:dyDescent="0.35">
      <c r="A56" s="37"/>
      <c r="B56" s="227">
        <f t="shared" si="3"/>
        <v>2026</v>
      </c>
      <c r="C56" s="228">
        <f>C3</f>
        <v>13</v>
      </c>
      <c r="D56" s="229">
        <v>910</v>
      </c>
      <c r="E56" s="237">
        <v>46006</v>
      </c>
      <c r="F56" s="339">
        <v>5.4</v>
      </c>
      <c r="G56" s="231">
        <v>130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5"/>
      <c r="Q56" s="13"/>
    </row>
    <row r="57" spans="1:17" ht="19.5" customHeight="1" thickBot="1" x14ac:dyDescent="0.35">
      <c r="A57" s="37"/>
      <c r="B57" s="227">
        <f t="shared" si="3"/>
        <v>2026</v>
      </c>
      <c r="C57" s="228">
        <f>C3</f>
        <v>13</v>
      </c>
      <c r="D57" s="229">
        <v>912</v>
      </c>
      <c r="E57" s="237">
        <v>46006</v>
      </c>
      <c r="F57" s="339">
        <v>11.7</v>
      </c>
      <c r="G57" s="231">
        <v>56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5"/>
      <c r="Q57" s="13"/>
    </row>
    <row r="58" spans="1:17" ht="19.5" customHeight="1" thickBot="1" x14ac:dyDescent="0.35">
      <c r="A58" s="37"/>
      <c r="B58" s="227">
        <f t="shared" si="3"/>
        <v>2026</v>
      </c>
      <c r="C58" s="228">
        <f>C3</f>
        <v>13</v>
      </c>
      <c r="D58" s="229">
        <v>914</v>
      </c>
      <c r="E58" s="237">
        <v>46006</v>
      </c>
      <c r="F58" s="339">
        <v>2.1</v>
      </c>
      <c r="G58" s="231">
        <v>200</v>
      </c>
      <c r="H58" s="232" t="s">
        <v>14</v>
      </c>
      <c r="I58" s="233" t="s">
        <v>15</v>
      </c>
      <c r="J58" s="233"/>
      <c r="K58" s="229" t="s">
        <v>16</v>
      </c>
      <c r="L58" s="233"/>
      <c r="M58" s="270"/>
      <c r="N58" s="235"/>
      <c r="O58" s="295"/>
      <c r="P58" s="345"/>
      <c r="Q58" s="13"/>
    </row>
    <row r="59" spans="1:17" ht="19.5" customHeight="1" thickBot="1" x14ac:dyDescent="0.35">
      <c r="A59" s="37"/>
      <c r="B59" s="227">
        <f t="shared" si="3"/>
        <v>2026</v>
      </c>
      <c r="C59" s="228">
        <f>C3</f>
        <v>13</v>
      </c>
      <c r="D59" s="229">
        <v>915</v>
      </c>
      <c r="E59" s="237">
        <v>46006</v>
      </c>
      <c r="F59" s="339">
        <v>1.9</v>
      </c>
      <c r="G59" s="231">
        <v>200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5"/>
      <c r="Q59" s="13"/>
    </row>
    <row r="60" spans="1:17" ht="19.5" customHeight="1" thickBot="1" x14ac:dyDescent="0.35">
      <c r="A60" s="37"/>
      <c r="B60" s="227">
        <f t="shared" si="3"/>
        <v>2026</v>
      </c>
      <c r="C60" s="228">
        <f>C3</f>
        <v>13</v>
      </c>
      <c r="D60" s="229">
        <v>918</v>
      </c>
      <c r="E60" s="237">
        <v>46006</v>
      </c>
      <c r="F60" s="339">
        <v>2.1</v>
      </c>
      <c r="G60" s="231">
        <v>200</v>
      </c>
      <c r="H60" s="232" t="s">
        <v>14</v>
      </c>
      <c r="I60" s="233" t="s">
        <v>15</v>
      </c>
      <c r="J60" s="233"/>
      <c r="K60" s="229" t="s">
        <v>16</v>
      </c>
      <c r="L60" s="233"/>
      <c r="M60" s="270"/>
      <c r="N60" s="235"/>
      <c r="O60" s="295"/>
      <c r="P60" s="345"/>
      <c r="Q60" s="13"/>
    </row>
    <row r="61" spans="1:17" ht="19.5" customHeight="1" thickBot="1" x14ac:dyDescent="0.35">
      <c r="A61" s="37"/>
      <c r="B61" s="238">
        <f t="shared" si="3"/>
        <v>2026</v>
      </c>
      <c r="C61" s="239">
        <f>C3</f>
        <v>13</v>
      </c>
      <c r="D61" s="240">
        <v>919</v>
      </c>
      <c r="E61" s="241">
        <v>46006</v>
      </c>
      <c r="F61" s="340">
        <v>3</v>
      </c>
      <c r="G61" s="242">
        <v>165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5"/>
      <c r="Q61" s="13"/>
    </row>
    <row r="62" spans="1:17" ht="19.5" customHeight="1" x14ac:dyDescent="0.3">
      <c r="A62" s="37"/>
      <c r="B62" s="4" t="s">
        <v>20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7"/>
      <c r="B63" s="4" t="s">
        <v>21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7"/>
      <c r="B64" s="4" t="s">
        <v>22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7"/>
      <c r="B65" s="7" t="s">
        <v>25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23"/>
    </row>
    <row r="66" spans="1:30" ht="19.5" customHeight="1" x14ac:dyDescent="0.3">
      <c r="A66" s="37"/>
      <c r="B66" s="24"/>
      <c r="C66" s="24"/>
      <c r="D66" s="24"/>
      <c r="E66" s="24"/>
      <c r="F66" s="24"/>
      <c r="G66"/>
      <c r="H66"/>
      <c r="I66"/>
      <c r="J66"/>
      <c r="K66"/>
      <c r="L66"/>
      <c r="M66"/>
      <c r="N66"/>
      <c r="O66"/>
      <c r="P66"/>
      <c r="Q66" s="2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 s="33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 s="34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 s="35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 s="24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 s="24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 s="24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 s="2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</row>
    <row r="78" spans="1:30" ht="14.4" x14ac:dyDescent="0.3">
      <c r="G78"/>
      <c r="H78"/>
      <c r="I78"/>
      <c r="J78"/>
      <c r="K78"/>
      <c r="L78"/>
      <c r="M78"/>
      <c r="N78"/>
      <c r="O78"/>
      <c r="P78"/>
    </row>
    <row r="79" spans="1:30" ht="14.4" x14ac:dyDescent="0.3">
      <c r="G79"/>
      <c r="H79"/>
      <c r="I79"/>
      <c r="J79"/>
      <c r="K79"/>
      <c r="L79"/>
      <c r="M79"/>
      <c r="N79"/>
      <c r="O79"/>
      <c r="P79"/>
    </row>
    <row r="80" spans="1:30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2"/>
  <sheetViews>
    <sheetView workbookViewId="0">
      <selection activeCell="D53" sqref="D53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31</v>
      </c>
      <c r="D2" s="38" t="s">
        <v>32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f>'Survey 12'!B3</f>
        <v>2026</v>
      </c>
      <c r="C3" s="43">
        <v>1</v>
      </c>
      <c r="D3" s="43">
        <v>306</v>
      </c>
      <c r="E3" s="44">
        <v>46020</v>
      </c>
      <c r="F3" s="322">
        <v>5.8</v>
      </c>
      <c r="G3" s="45">
        <v>81</v>
      </c>
      <c r="H3" s="43" t="s">
        <v>14</v>
      </c>
      <c r="I3" s="46" t="s">
        <v>15</v>
      </c>
      <c r="J3" s="45"/>
      <c r="K3" s="43" t="s">
        <v>16</v>
      </c>
      <c r="L3" s="45"/>
      <c r="M3" s="247"/>
      <c r="N3" s="48"/>
      <c r="O3" s="272"/>
      <c r="P3" s="346" t="s">
        <v>33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1</v>
      </c>
      <c r="D4" s="52">
        <v>308</v>
      </c>
      <c r="E4" s="53">
        <v>46020</v>
      </c>
      <c r="F4" s="58">
        <v>5.4</v>
      </c>
      <c r="G4" s="54">
        <v>85</v>
      </c>
      <c r="H4" s="55" t="s">
        <v>14</v>
      </c>
      <c r="I4" s="56" t="s">
        <v>15</v>
      </c>
      <c r="J4" s="54"/>
      <c r="K4" s="52" t="s">
        <v>16</v>
      </c>
      <c r="L4" s="54"/>
      <c r="M4" s="248"/>
      <c r="N4" s="58"/>
      <c r="O4" s="273"/>
      <c r="P4" s="346"/>
      <c r="Q4" s="13"/>
    </row>
    <row r="5" spans="1:17" ht="19.5" customHeight="1" thickBot="1" x14ac:dyDescent="0.35">
      <c r="A5" s="37"/>
      <c r="B5" s="50">
        <f t="shared" ref="B5:C15" si="0">B4</f>
        <v>2026</v>
      </c>
      <c r="C5" s="51">
        <f t="shared" si="0"/>
        <v>1</v>
      </c>
      <c r="D5" s="50">
        <v>311</v>
      </c>
      <c r="E5" s="60">
        <v>46020</v>
      </c>
      <c r="F5" s="65">
        <v>6.7</v>
      </c>
      <c r="G5" s="61">
        <v>73</v>
      </c>
      <c r="H5" s="62" t="s">
        <v>14</v>
      </c>
      <c r="I5" s="63" t="s">
        <v>15</v>
      </c>
      <c r="J5" s="61"/>
      <c r="K5" s="50" t="s">
        <v>16</v>
      </c>
      <c r="L5" s="61"/>
      <c r="M5" s="249"/>
      <c r="N5" s="65"/>
      <c r="O5" s="274"/>
      <c r="P5" s="346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0"/>
        <v>1</v>
      </c>
      <c r="D6" s="50">
        <v>315</v>
      </c>
      <c r="E6" s="60">
        <v>46020</v>
      </c>
      <c r="F6" s="65">
        <v>5.3</v>
      </c>
      <c r="G6" s="61">
        <v>93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6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0"/>
        <v>1</v>
      </c>
      <c r="D7" s="50">
        <v>322</v>
      </c>
      <c r="E7" s="60">
        <v>46020</v>
      </c>
      <c r="F7" s="65">
        <v>6.6</v>
      </c>
      <c r="G7" s="61">
        <v>80</v>
      </c>
      <c r="H7" s="62" t="s">
        <v>14</v>
      </c>
      <c r="I7" s="63" t="s">
        <v>15</v>
      </c>
      <c r="J7" s="61"/>
      <c r="K7" s="50" t="s">
        <v>16</v>
      </c>
      <c r="L7" s="61"/>
      <c r="M7" s="249"/>
      <c r="N7" s="65"/>
      <c r="O7" s="274"/>
      <c r="P7" s="346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0"/>
        <v>1</v>
      </c>
      <c r="D8" s="50">
        <v>323</v>
      </c>
      <c r="E8" s="60">
        <v>46020</v>
      </c>
      <c r="F8" s="65">
        <v>23.2</v>
      </c>
      <c r="G8" s="61">
        <v>44</v>
      </c>
      <c r="H8" s="62" t="s">
        <v>14</v>
      </c>
      <c r="I8" s="63" t="s">
        <v>15</v>
      </c>
      <c r="J8" s="61"/>
      <c r="K8" s="50" t="s">
        <v>16</v>
      </c>
      <c r="L8" s="61"/>
      <c r="M8" s="249"/>
      <c r="N8" s="65"/>
      <c r="O8" s="274"/>
      <c r="P8" s="346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0"/>
        <v>1</v>
      </c>
      <c r="D9" s="50">
        <v>327</v>
      </c>
      <c r="E9" s="60">
        <v>46020</v>
      </c>
      <c r="F9" s="65">
        <v>9.1999999999999993</v>
      </c>
      <c r="G9" s="61">
        <v>68</v>
      </c>
      <c r="H9" s="62" t="s">
        <v>14</v>
      </c>
      <c r="I9" s="63" t="s">
        <v>15</v>
      </c>
      <c r="J9" s="61"/>
      <c r="K9" s="50" t="s">
        <v>16</v>
      </c>
      <c r="L9" s="61"/>
      <c r="M9" s="249"/>
      <c r="N9" s="65"/>
      <c r="O9" s="274"/>
      <c r="P9" s="346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0"/>
        <v>1</v>
      </c>
      <c r="D10" s="50">
        <v>328</v>
      </c>
      <c r="E10" s="60">
        <v>46020</v>
      </c>
      <c r="F10" s="65">
        <v>11</v>
      </c>
      <c r="G10" s="61">
        <v>73</v>
      </c>
      <c r="H10" s="62" t="s">
        <v>14</v>
      </c>
      <c r="I10" s="63" t="s">
        <v>15</v>
      </c>
      <c r="J10" s="61"/>
      <c r="K10" s="50" t="s">
        <v>16</v>
      </c>
      <c r="L10" s="61"/>
      <c r="M10" s="249"/>
      <c r="N10" s="65"/>
      <c r="O10" s="274"/>
      <c r="P10" s="346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0"/>
        <v>1</v>
      </c>
      <c r="D11" s="50">
        <v>329</v>
      </c>
      <c r="E11" s="60">
        <v>46020</v>
      </c>
      <c r="F11" s="65">
        <v>12.8</v>
      </c>
      <c r="G11" s="61">
        <v>48</v>
      </c>
      <c r="H11" s="62" t="s">
        <v>14</v>
      </c>
      <c r="I11" s="63" t="s">
        <v>26</v>
      </c>
      <c r="J11" s="61">
        <v>2</v>
      </c>
      <c r="K11" s="50" t="s">
        <v>16</v>
      </c>
      <c r="L11" s="61">
        <v>7</v>
      </c>
      <c r="M11" s="249">
        <v>7</v>
      </c>
      <c r="N11" s="65">
        <v>7</v>
      </c>
      <c r="O11" s="274">
        <v>2</v>
      </c>
      <c r="P11" s="346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0"/>
        <v>1</v>
      </c>
      <c r="D12" s="50">
        <v>330</v>
      </c>
      <c r="E12" s="60">
        <v>46020</v>
      </c>
      <c r="F12" s="65">
        <v>21.9</v>
      </c>
      <c r="G12" s="61">
        <v>43</v>
      </c>
      <c r="H12" s="62" t="s">
        <v>14</v>
      </c>
      <c r="I12" s="63" t="s">
        <v>15</v>
      </c>
      <c r="J12" s="61"/>
      <c r="K12" s="50" t="s">
        <v>16</v>
      </c>
      <c r="L12" s="61"/>
      <c r="M12" s="249"/>
      <c r="N12" s="65"/>
      <c r="O12" s="274"/>
      <c r="P12" s="346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0"/>
        <v>1</v>
      </c>
      <c r="D13" s="50">
        <v>335</v>
      </c>
      <c r="E13" s="60">
        <v>46020</v>
      </c>
      <c r="F13" s="65">
        <v>12.9</v>
      </c>
      <c r="G13" s="61">
        <v>44</v>
      </c>
      <c r="H13" s="62" t="s">
        <v>14</v>
      </c>
      <c r="I13" s="63" t="s">
        <v>26</v>
      </c>
      <c r="J13" s="61">
        <v>3</v>
      </c>
      <c r="K13" s="50" t="s">
        <v>16</v>
      </c>
      <c r="L13" s="61">
        <v>7</v>
      </c>
      <c r="M13" s="249">
        <v>8</v>
      </c>
      <c r="N13" s="65">
        <v>7.3333333333333304</v>
      </c>
      <c r="O13" s="274">
        <v>2</v>
      </c>
      <c r="P13" s="346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0"/>
        <v>1</v>
      </c>
      <c r="D14" s="50">
        <v>336</v>
      </c>
      <c r="E14" s="60">
        <v>46020</v>
      </c>
      <c r="F14" s="65">
        <v>11.6</v>
      </c>
      <c r="G14" s="61">
        <v>67</v>
      </c>
      <c r="H14" s="62" t="s">
        <v>14</v>
      </c>
      <c r="I14" s="63" t="s">
        <v>26</v>
      </c>
      <c r="J14" s="61">
        <v>1</v>
      </c>
      <c r="K14" s="50" t="s">
        <v>16</v>
      </c>
      <c r="L14" s="61">
        <v>7</v>
      </c>
      <c r="M14" s="249">
        <v>7</v>
      </c>
      <c r="N14" s="65">
        <v>7</v>
      </c>
      <c r="O14" s="274">
        <v>1</v>
      </c>
      <c r="P14" s="346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0"/>
        <v>1</v>
      </c>
      <c r="D15" s="67">
        <v>338</v>
      </c>
      <c r="E15" s="68">
        <v>46021</v>
      </c>
      <c r="F15" s="72">
        <v>12</v>
      </c>
      <c r="G15" s="69">
        <v>57</v>
      </c>
      <c r="H15" s="62" t="s">
        <v>14</v>
      </c>
      <c r="I15" s="70" t="s">
        <v>15</v>
      </c>
      <c r="J15" s="69"/>
      <c r="K15" s="67" t="s">
        <v>16</v>
      </c>
      <c r="L15" s="69"/>
      <c r="M15" s="250"/>
      <c r="N15" s="72"/>
      <c r="O15" s="275"/>
      <c r="P15" s="346"/>
      <c r="Q15" s="13"/>
    </row>
    <row r="16" spans="1:17" ht="19.5" customHeight="1" x14ac:dyDescent="0.3">
      <c r="A16" s="37"/>
      <c r="B16" s="74">
        <f>B15</f>
        <v>2026</v>
      </c>
      <c r="C16" s="75">
        <f>C3</f>
        <v>1</v>
      </c>
      <c r="D16" s="74">
        <v>340</v>
      </c>
      <c r="E16" s="76">
        <v>46021</v>
      </c>
      <c r="F16" s="323">
        <v>21.9</v>
      </c>
      <c r="G16" s="77">
        <v>54</v>
      </c>
      <c r="H16" s="74" t="s">
        <v>14</v>
      </c>
      <c r="I16" s="78" t="s">
        <v>26</v>
      </c>
      <c r="J16" s="78">
        <v>4</v>
      </c>
      <c r="K16" s="74" t="s">
        <v>16</v>
      </c>
      <c r="L16" s="78">
        <v>5</v>
      </c>
      <c r="M16" s="251">
        <v>7</v>
      </c>
      <c r="N16" s="80">
        <v>6.5</v>
      </c>
      <c r="O16" s="276">
        <v>4</v>
      </c>
      <c r="P16" s="347" t="s">
        <v>12</v>
      </c>
      <c r="Q16" s="13"/>
    </row>
    <row r="17" spans="1:17" ht="19.5" customHeight="1" x14ac:dyDescent="0.3">
      <c r="A17" s="37"/>
      <c r="B17" s="82">
        <f>B16</f>
        <v>2026</v>
      </c>
      <c r="C17" s="82">
        <f>C3</f>
        <v>1</v>
      </c>
      <c r="D17" s="83">
        <v>342</v>
      </c>
      <c r="E17" s="84">
        <v>46021</v>
      </c>
      <c r="F17" s="324">
        <v>12.3</v>
      </c>
      <c r="G17" s="85">
        <v>50</v>
      </c>
      <c r="H17" s="83" t="s">
        <v>14</v>
      </c>
      <c r="I17" s="86" t="s">
        <v>26</v>
      </c>
      <c r="J17" s="86">
        <v>3</v>
      </c>
      <c r="K17" s="83" t="s">
        <v>16</v>
      </c>
      <c r="L17" s="86">
        <v>7</v>
      </c>
      <c r="M17" s="252">
        <v>7</v>
      </c>
      <c r="N17" s="88">
        <v>7</v>
      </c>
      <c r="O17" s="277">
        <v>0</v>
      </c>
      <c r="P17" s="348"/>
      <c r="Q17" s="13"/>
    </row>
    <row r="18" spans="1:17" ht="19.5" customHeight="1" x14ac:dyDescent="0.3">
      <c r="A18" s="37"/>
      <c r="B18" s="82">
        <f t="shared" ref="B18:B19" si="1">B17</f>
        <v>2026</v>
      </c>
      <c r="C18" s="82">
        <f>C3</f>
        <v>1</v>
      </c>
      <c r="D18" s="83">
        <v>343</v>
      </c>
      <c r="E18" s="84">
        <v>46021</v>
      </c>
      <c r="F18" s="324">
        <v>38.9</v>
      </c>
      <c r="G18" s="85">
        <v>38</v>
      </c>
      <c r="H18" s="83" t="s">
        <v>14</v>
      </c>
      <c r="I18" s="86" t="s">
        <v>26</v>
      </c>
      <c r="J18" s="86">
        <v>13</v>
      </c>
      <c r="K18" s="83" t="s">
        <v>16</v>
      </c>
      <c r="L18" s="86">
        <v>7</v>
      </c>
      <c r="M18" s="252">
        <v>8</v>
      </c>
      <c r="N18" s="88">
        <v>7.1538461538461497</v>
      </c>
      <c r="O18" s="277">
        <v>11</v>
      </c>
      <c r="P18" s="348"/>
      <c r="Q18" s="13"/>
    </row>
    <row r="19" spans="1:17" ht="19.5" customHeight="1" x14ac:dyDescent="0.3">
      <c r="A19" s="37"/>
      <c r="B19" s="82">
        <f t="shared" si="1"/>
        <v>2026</v>
      </c>
      <c r="C19" s="82">
        <f>C4</f>
        <v>1</v>
      </c>
      <c r="D19" s="83">
        <v>344</v>
      </c>
      <c r="E19" s="84">
        <v>46021</v>
      </c>
      <c r="F19" s="324">
        <v>27.5</v>
      </c>
      <c r="G19" s="85">
        <v>37</v>
      </c>
      <c r="H19" s="83" t="s">
        <v>14</v>
      </c>
      <c r="I19" s="86" t="s">
        <v>26</v>
      </c>
      <c r="J19" s="86">
        <v>2</v>
      </c>
      <c r="K19" s="83" t="s">
        <v>16</v>
      </c>
      <c r="L19" s="86">
        <v>8</v>
      </c>
      <c r="M19" s="252">
        <v>9</v>
      </c>
      <c r="N19" s="88">
        <v>8.5</v>
      </c>
      <c r="O19" s="277">
        <v>0</v>
      </c>
      <c r="P19" s="348"/>
      <c r="Q19" s="13"/>
    </row>
    <row r="20" spans="1:17" ht="19.5" customHeight="1" x14ac:dyDescent="0.3">
      <c r="A20" s="37"/>
      <c r="B20" s="82">
        <f>B19</f>
        <v>2026</v>
      </c>
      <c r="C20" s="82">
        <f>C5</f>
        <v>1</v>
      </c>
      <c r="D20" s="83">
        <v>345</v>
      </c>
      <c r="E20" s="84">
        <v>46021</v>
      </c>
      <c r="F20" s="324">
        <v>28.4</v>
      </c>
      <c r="G20" s="85">
        <v>34</v>
      </c>
      <c r="H20" s="83" t="s">
        <v>14</v>
      </c>
      <c r="I20" s="86" t="s">
        <v>15</v>
      </c>
      <c r="J20" s="86"/>
      <c r="K20" s="83" t="s">
        <v>16</v>
      </c>
      <c r="L20" s="86"/>
      <c r="M20" s="252"/>
      <c r="N20" s="88"/>
      <c r="O20" s="277"/>
      <c r="P20" s="348"/>
      <c r="Q20" s="13"/>
    </row>
    <row r="21" spans="1:17" ht="19.5" customHeight="1" x14ac:dyDescent="0.3">
      <c r="A21" s="37"/>
      <c r="B21" s="90">
        <f>B20</f>
        <v>2026</v>
      </c>
      <c r="C21" s="90">
        <f>C6</f>
        <v>1</v>
      </c>
      <c r="D21" s="91">
        <v>346</v>
      </c>
      <c r="E21" s="84">
        <v>46021</v>
      </c>
      <c r="F21" s="324">
        <v>21.9</v>
      </c>
      <c r="G21" s="85">
        <v>41</v>
      </c>
      <c r="H21" s="83" t="s">
        <v>14</v>
      </c>
      <c r="I21" s="86" t="s">
        <v>15</v>
      </c>
      <c r="J21" s="86"/>
      <c r="K21" s="83" t="s">
        <v>16</v>
      </c>
      <c r="L21" s="86"/>
      <c r="M21" s="252"/>
      <c r="N21" s="88"/>
      <c r="O21" s="277"/>
      <c r="P21" s="348"/>
      <c r="Q21" s="13"/>
    </row>
    <row r="22" spans="1:17" ht="19.5" customHeight="1" x14ac:dyDescent="0.3">
      <c r="A22" s="37"/>
      <c r="B22" s="92">
        <f t="shared" ref="B22" si="2">B21</f>
        <v>2026</v>
      </c>
      <c r="C22" s="82">
        <f>C7</f>
        <v>1</v>
      </c>
      <c r="D22" s="83">
        <v>347</v>
      </c>
      <c r="E22" s="93">
        <v>46021</v>
      </c>
      <c r="F22" s="325">
        <v>19.899999999999999</v>
      </c>
      <c r="G22" s="85">
        <v>45</v>
      </c>
      <c r="H22" s="83" t="s">
        <v>14</v>
      </c>
      <c r="I22" s="86" t="s">
        <v>15</v>
      </c>
      <c r="J22" s="86"/>
      <c r="K22" s="83" t="s">
        <v>16</v>
      </c>
      <c r="L22" s="86"/>
      <c r="M22" s="252"/>
      <c r="N22" s="88"/>
      <c r="O22" s="277"/>
      <c r="P22" s="348"/>
      <c r="Q22" s="13"/>
    </row>
    <row r="23" spans="1:17" ht="19.5" customHeight="1" x14ac:dyDescent="0.3">
      <c r="A23" s="37"/>
      <c r="B23" s="82">
        <f>B22</f>
        <v>2026</v>
      </c>
      <c r="C23" s="94">
        <f>C5</f>
        <v>1</v>
      </c>
      <c r="D23" s="95">
        <v>348</v>
      </c>
      <c r="E23" s="84">
        <v>46021</v>
      </c>
      <c r="F23" s="324">
        <v>11</v>
      </c>
      <c r="G23" s="85">
        <v>62</v>
      </c>
      <c r="H23" s="83" t="s">
        <v>14</v>
      </c>
      <c r="I23" s="86" t="s">
        <v>15</v>
      </c>
      <c r="J23" s="86"/>
      <c r="K23" s="83" t="s">
        <v>16</v>
      </c>
      <c r="L23" s="86"/>
      <c r="M23" s="252"/>
      <c r="N23" s="96"/>
      <c r="O23" s="278"/>
      <c r="P23" s="348"/>
      <c r="Q23" s="13"/>
    </row>
    <row r="24" spans="1:17" ht="19.5" customHeight="1" thickBot="1" x14ac:dyDescent="0.35">
      <c r="A24" s="37"/>
      <c r="B24" s="98">
        <f>B23</f>
        <v>2026</v>
      </c>
      <c r="C24" s="90">
        <f>C6</f>
        <v>1</v>
      </c>
      <c r="D24" s="99">
        <v>349</v>
      </c>
      <c r="E24" s="100">
        <v>46021</v>
      </c>
      <c r="F24" s="326">
        <v>8.6</v>
      </c>
      <c r="G24" s="101">
        <v>84</v>
      </c>
      <c r="H24" s="99" t="s">
        <v>14</v>
      </c>
      <c r="I24" s="102" t="s">
        <v>15</v>
      </c>
      <c r="J24" s="102"/>
      <c r="K24" s="99" t="s">
        <v>16</v>
      </c>
      <c r="L24" s="102"/>
      <c r="M24" s="253"/>
      <c r="N24" s="104"/>
      <c r="O24" s="279"/>
      <c r="P24" s="349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1</v>
      </c>
      <c r="D25" s="106">
        <v>401</v>
      </c>
      <c r="E25" s="108">
        <v>46021</v>
      </c>
      <c r="F25" s="327">
        <v>19.3</v>
      </c>
      <c r="G25" s="109">
        <v>46</v>
      </c>
      <c r="H25" s="106" t="s">
        <v>14</v>
      </c>
      <c r="I25" s="110" t="s">
        <v>26</v>
      </c>
      <c r="J25" s="110">
        <v>8</v>
      </c>
      <c r="K25" s="106" t="s">
        <v>16</v>
      </c>
      <c r="L25" s="110">
        <v>6</v>
      </c>
      <c r="M25" s="254">
        <v>8</v>
      </c>
      <c r="N25" s="112">
        <v>7</v>
      </c>
      <c r="O25" s="280">
        <v>6</v>
      </c>
      <c r="P25" s="350" t="s">
        <v>34</v>
      </c>
      <c r="Q25" s="13"/>
    </row>
    <row r="26" spans="1:17" ht="19.5" customHeight="1" thickBot="1" x14ac:dyDescent="0.35">
      <c r="A26" s="37"/>
      <c r="B26" s="106">
        <f t="shared" ref="B26:B61" si="3">B25</f>
        <v>2026</v>
      </c>
      <c r="C26" s="114">
        <f>C3</f>
        <v>1</v>
      </c>
      <c r="D26" s="115">
        <v>404</v>
      </c>
      <c r="E26" s="116">
        <v>46020</v>
      </c>
      <c r="F26" s="327">
        <v>30.2</v>
      </c>
      <c r="G26" s="109">
        <v>33</v>
      </c>
      <c r="H26" s="115" t="s">
        <v>14</v>
      </c>
      <c r="I26" s="117" t="s">
        <v>26</v>
      </c>
      <c r="J26" s="117">
        <v>9</v>
      </c>
      <c r="K26" s="115" t="s">
        <v>16</v>
      </c>
      <c r="L26" s="117">
        <v>7</v>
      </c>
      <c r="M26" s="255">
        <v>8</v>
      </c>
      <c r="N26" s="119">
        <v>7.5555555555555598</v>
      </c>
      <c r="O26" s="281">
        <v>9</v>
      </c>
      <c r="P26" s="350"/>
      <c r="Q26" s="13"/>
    </row>
    <row r="27" spans="1:17" ht="19.5" customHeight="1" thickBot="1" x14ac:dyDescent="0.35">
      <c r="A27" s="37"/>
      <c r="B27" s="121">
        <f t="shared" si="3"/>
        <v>2026</v>
      </c>
      <c r="C27" s="121">
        <f>C3</f>
        <v>1</v>
      </c>
      <c r="D27" s="122">
        <v>405</v>
      </c>
      <c r="E27" s="123">
        <v>46020</v>
      </c>
      <c r="F27" s="126">
        <v>103.1</v>
      </c>
      <c r="G27" s="124">
        <v>19</v>
      </c>
      <c r="H27" s="122" t="s">
        <v>14</v>
      </c>
      <c r="I27" s="124" t="s">
        <v>26</v>
      </c>
      <c r="J27" s="124">
        <v>3</v>
      </c>
      <c r="K27" s="122" t="s">
        <v>16</v>
      </c>
      <c r="L27" s="124">
        <v>7</v>
      </c>
      <c r="M27" s="256">
        <v>8</v>
      </c>
      <c r="N27" s="126">
        <v>7.3333333333333304</v>
      </c>
      <c r="O27" s="282">
        <v>1</v>
      </c>
      <c r="P27" s="350"/>
      <c r="Q27" s="13"/>
    </row>
    <row r="28" spans="1:17" ht="19.5" customHeight="1" thickBot="1" x14ac:dyDescent="0.35">
      <c r="A28" s="37"/>
      <c r="B28" s="128">
        <f t="shared" si="3"/>
        <v>2026</v>
      </c>
      <c r="C28" s="128">
        <f>C3</f>
        <v>1</v>
      </c>
      <c r="D28" s="129">
        <v>411</v>
      </c>
      <c r="E28" s="130">
        <v>46022</v>
      </c>
      <c r="F28" s="133">
        <v>33.200000000000003</v>
      </c>
      <c r="G28" s="131">
        <v>35</v>
      </c>
      <c r="H28" s="129" t="s">
        <v>14</v>
      </c>
      <c r="I28" s="131" t="s">
        <v>26</v>
      </c>
      <c r="J28" s="131">
        <v>28</v>
      </c>
      <c r="K28" s="129" t="s">
        <v>16</v>
      </c>
      <c r="L28" s="131">
        <v>7</v>
      </c>
      <c r="M28" s="257">
        <v>9</v>
      </c>
      <c r="N28" s="133">
        <v>7.4285714285714297</v>
      </c>
      <c r="O28" s="283">
        <v>24</v>
      </c>
      <c r="P28" s="351" t="s">
        <v>35</v>
      </c>
      <c r="Q28" s="13"/>
    </row>
    <row r="29" spans="1:17" ht="19.5" customHeight="1" thickBot="1" x14ac:dyDescent="0.35">
      <c r="A29" s="37"/>
      <c r="B29" s="135">
        <f t="shared" si="3"/>
        <v>2026</v>
      </c>
      <c r="C29" s="135">
        <f>C3</f>
        <v>1</v>
      </c>
      <c r="D29" s="136">
        <v>418</v>
      </c>
      <c r="E29" s="137">
        <v>46022</v>
      </c>
      <c r="F29" s="140">
        <v>20.2</v>
      </c>
      <c r="G29" s="138">
        <v>35</v>
      </c>
      <c r="H29" s="136" t="s">
        <v>14</v>
      </c>
      <c r="I29" s="138" t="s">
        <v>26</v>
      </c>
      <c r="J29" s="138">
        <v>6</v>
      </c>
      <c r="K29" s="136" t="s">
        <v>16</v>
      </c>
      <c r="L29" s="138">
        <v>7</v>
      </c>
      <c r="M29" s="258">
        <v>8</v>
      </c>
      <c r="N29" s="140">
        <v>7.8333333333333304</v>
      </c>
      <c r="O29" s="284">
        <v>6</v>
      </c>
      <c r="P29" s="351"/>
      <c r="Q29" s="13"/>
    </row>
    <row r="30" spans="1:17" ht="19.5" customHeight="1" thickBot="1" x14ac:dyDescent="0.35">
      <c r="A30" s="37"/>
      <c r="B30" s="135">
        <f t="shared" si="3"/>
        <v>2026</v>
      </c>
      <c r="C30" s="135">
        <f>C3</f>
        <v>1</v>
      </c>
      <c r="D30" s="136">
        <v>501</v>
      </c>
      <c r="E30" s="142">
        <v>46022</v>
      </c>
      <c r="F30" s="328">
        <v>39.299999999999997</v>
      </c>
      <c r="G30" s="143">
        <v>20</v>
      </c>
      <c r="H30" s="136" t="s">
        <v>14</v>
      </c>
      <c r="I30" s="138" t="s">
        <v>26</v>
      </c>
      <c r="J30" s="138">
        <v>10</v>
      </c>
      <c r="K30" s="136" t="s">
        <v>16</v>
      </c>
      <c r="L30" s="138">
        <v>6</v>
      </c>
      <c r="M30" s="258">
        <v>8</v>
      </c>
      <c r="N30" s="140">
        <v>6.7777777777777803</v>
      </c>
      <c r="O30" s="284">
        <v>9</v>
      </c>
      <c r="P30" s="351"/>
      <c r="Q30" s="13"/>
    </row>
    <row r="31" spans="1:17" ht="19.5" customHeight="1" thickBot="1" x14ac:dyDescent="0.35">
      <c r="A31" s="37"/>
      <c r="B31" s="135">
        <f t="shared" si="3"/>
        <v>2026</v>
      </c>
      <c r="C31" s="135">
        <f>C3</f>
        <v>1</v>
      </c>
      <c r="D31" s="136">
        <v>504</v>
      </c>
      <c r="E31" s="137">
        <v>46022</v>
      </c>
      <c r="F31" s="140">
        <v>37.6</v>
      </c>
      <c r="G31" s="138">
        <v>35</v>
      </c>
      <c r="H31" s="136" t="s">
        <v>14</v>
      </c>
      <c r="I31" s="138" t="s">
        <v>26</v>
      </c>
      <c r="J31" s="138">
        <v>5</v>
      </c>
      <c r="K31" s="136" t="s">
        <v>16</v>
      </c>
      <c r="L31" s="138">
        <v>6</v>
      </c>
      <c r="M31" s="258">
        <v>6</v>
      </c>
      <c r="N31" s="140">
        <v>6</v>
      </c>
      <c r="O31" s="284">
        <v>4</v>
      </c>
      <c r="P31" s="351"/>
      <c r="Q31" s="13"/>
    </row>
    <row r="32" spans="1:17" ht="19.5" customHeight="1" thickBot="1" x14ac:dyDescent="0.35">
      <c r="A32" s="37"/>
      <c r="B32" s="135">
        <f t="shared" si="3"/>
        <v>2026</v>
      </c>
      <c r="C32" s="135">
        <f>C3</f>
        <v>1</v>
      </c>
      <c r="D32" s="136">
        <v>519</v>
      </c>
      <c r="E32" s="137">
        <v>46021</v>
      </c>
      <c r="F32" s="140">
        <v>62.5</v>
      </c>
      <c r="G32" s="138">
        <v>14</v>
      </c>
      <c r="H32" s="136" t="s">
        <v>14</v>
      </c>
      <c r="I32" s="138" t="s">
        <v>26</v>
      </c>
      <c r="J32" s="138">
        <v>1</v>
      </c>
      <c r="K32" s="136" t="s">
        <v>16</v>
      </c>
      <c r="L32" s="138">
        <v>6</v>
      </c>
      <c r="M32" s="258">
        <v>6</v>
      </c>
      <c r="N32" s="140">
        <v>6</v>
      </c>
      <c r="O32" s="284">
        <v>0</v>
      </c>
      <c r="P32" s="351"/>
      <c r="Q32" s="13"/>
    </row>
    <row r="33" spans="1:17" ht="19.5" customHeight="1" thickBot="1" x14ac:dyDescent="0.35">
      <c r="A33" s="37"/>
      <c r="B33" s="135">
        <f t="shared" si="3"/>
        <v>2026</v>
      </c>
      <c r="C33" s="135">
        <f>C3</f>
        <v>1</v>
      </c>
      <c r="D33" s="136">
        <v>602</v>
      </c>
      <c r="E33" s="142">
        <v>46021</v>
      </c>
      <c r="F33" s="328">
        <v>78.5</v>
      </c>
      <c r="G33" s="143">
        <v>12</v>
      </c>
      <c r="H33" s="136" t="s">
        <v>14</v>
      </c>
      <c r="I33" s="138" t="s">
        <v>26</v>
      </c>
      <c r="J33" s="138">
        <v>2</v>
      </c>
      <c r="K33" s="136" t="s">
        <v>16</v>
      </c>
      <c r="L33" s="138">
        <v>7</v>
      </c>
      <c r="M33" s="258">
        <v>7</v>
      </c>
      <c r="N33" s="140">
        <v>7</v>
      </c>
      <c r="O33" s="284">
        <v>2</v>
      </c>
      <c r="P33" s="351"/>
      <c r="Q33" s="13"/>
    </row>
    <row r="34" spans="1:17" ht="19.5" customHeight="1" thickBot="1" x14ac:dyDescent="0.35">
      <c r="A34" s="37"/>
      <c r="B34" s="135">
        <f t="shared" si="3"/>
        <v>2026</v>
      </c>
      <c r="C34" s="135">
        <f>C3</f>
        <v>1</v>
      </c>
      <c r="D34" s="136">
        <v>606</v>
      </c>
      <c r="E34" s="137">
        <v>46021</v>
      </c>
      <c r="F34" s="140">
        <v>37.1</v>
      </c>
      <c r="G34" s="138">
        <v>20</v>
      </c>
      <c r="H34" s="136" t="s">
        <v>14</v>
      </c>
      <c r="I34" s="138" t="s">
        <v>15</v>
      </c>
      <c r="J34" s="138"/>
      <c r="K34" s="136" t="s">
        <v>16</v>
      </c>
      <c r="L34" s="138"/>
      <c r="M34" s="258"/>
      <c r="N34" s="140"/>
      <c r="O34" s="284"/>
      <c r="P34" s="351"/>
      <c r="Q34" s="13"/>
    </row>
    <row r="35" spans="1:17" ht="19.5" customHeight="1" thickBot="1" x14ac:dyDescent="0.35">
      <c r="A35" s="37"/>
      <c r="B35" s="135">
        <f t="shared" si="3"/>
        <v>2026</v>
      </c>
      <c r="C35" s="135">
        <f>C3</f>
        <v>1</v>
      </c>
      <c r="D35" s="136">
        <v>609</v>
      </c>
      <c r="E35" s="137">
        <v>46021</v>
      </c>
      <c r="F35" s="140">
        <v>35.299999999999997</v>
      </c>
      <c r="G35" s="138">
        <v>23</v>
      </c>
      <c r="H35" s="136" t="s">
        <v>14</v>
      </c>
      <c r="I35" s="138" t="s">
        <v>15</v>
      </c>
      <c r="J35" s="138"/>
      <c r="K35" s="136" t="s">
        <v>16</v>
      </c>
      <c r="L35" s="138"/>
      <c r="M35" s="258"/>
      <c r="N35" s="140"/>
      <c r="O35" s="284"/>
      <c r="P35" s="351"/>
      <c r="Q35" s="13"/>
    </row>
    <row r="36" spans="1:17" ht="19.5" customHeight="1" thickBot="1" x14ac:dyDescent="0.35">
      <c r="A36" s="37"/>
      <c r="B36" s="144">
        <f t="shared" si="3"/>
        <v>2026</v>
      </c>
      <c r="C36" s="145">
        <f>C3</f>
        <v>1</v>
      </c>
      <c r="D36" s="146">
        <v>610</v>
      </c>
      <c r="E36" s="147">
        <v>46021</v>
      </c>
      <c r="F36" s="329">
        <v>41.5</v>
      </c>
      <c r="G36" s="148">
        <v>24</v>
      </c>
      <c r="H36" s="146" t="s">
        <v>14</v>
      </c>
      <c r="I36" s="149" t="s">
        <v>15</v>
      </c>
      <c r="J36" s="149"/>
      <c r="K36" s="146" t="s">
        <v>16</v>
      </c>
      <c r="L36" s="149"/>
      <c r="M36" s="259"/>
      <c r="N36" s="151"/>
      <c r="O36" s="285"/>
      <c r="P36" s="351"/>
      <c r="Q36" s="13"/>
    </row>
    <row r="37" spans="1:17" ht="19.5" customHeight="1" thickBot="1" x14ac:dyDescent="0.35">
      <c r="A37" s="37"/>
      <c r="B37" s="153">
        <f t="shared" si="3"/>
        <v>2026</v>
      </c>
      <c r="C37" s="154">
        <f>C3</f>
        <v>1</v>
      </c>
      <c r="D37" s="155">
        <v>508</v>
      </c>
      <c r="E37" s="156">
        <v>46021</v>
      </c>
      <c r="F37" s="330">
        <v>63.6</v>
      </c>
      <c r="G37" s="157">
        <v>15</v>
      </c>
      <c r="H37" s="158" t="s">
        <v>14</v>
      </c>
      <c r="I37" s="158" t="s">
        <v>15</v>
      </c>
      <c r="J37" s="158"/>
      <c r="K37" s="155" t="s">
        <v>16</v>
      </c>
      <c r="L37" s="158"/>
      <c r="M37" s="260"/>
      <c r="N37" s="160"/>
      <c r="O37" s="286"/>
      <c r="P37" s="352" t="s">
        <v>13</v>
      </c>
      <c r="Q37" s="13"/>
    </row>
    <row r="38" spans="1:17" ht="19.5" customHeight="1" thickBot="1" x14ac:dyDescent="0.35">
      <c r="A38" s="37"/>
      <c r="B38" s="162">
        <f t="shared" si="3"/>
        <v>2026</v>
      </c>
      <c r="C38" s="154">
        <f>C3</f>
        <v>1</v>
      </c>
      <c r="D38" s="163">
        <v>513</v>
      </c>
      <c r="E38" s="164">
        <v>46021</v>
      </c>
      <c r="F38" s="331">
        <v>37.1</v>
      </c>
      <c r="G38" s="165">
        <v>20</v>
      </c>
      <c r="H38" s="166" t="s">
        <v>14</v>
      </c>
      <c r="I38" s="166" t="s">
        <v>26</v>
      </c>
      <c r="J38" s="166">
        <v>3</v>
      </c>
      <c r="K38" s="163" t="s">
        <v>16</v>
      </c>
      <c r="L38" s="166">
        <v>6</v>
      </c>
      <c r="M38" s="261">
        <v>7</v>
      </c>
      <c r="N38" s="168">
        <v>6.3333333333333304</v>
      </c>
      <c r="O38" s="287">
        <v>0</v>
      </c>
      <c r="P38" s="352"/>
      <c r="Q38" s="13"/>
    </row>
    <row r="39" spans="1:17" ht="19.5" customHeight="1" thickBot="1" x14ac:dyDescent="0.35">
      <c r="A39" s="37"/>
      <c r="B39" s="162">
        <f t="shared" si="3"/>
        <v>2026</v>
      </c>
      <c r="C39" s="154">
        <f>C3</f>
        <v>1</v>
      </c>
      <c r="D39" s="163">
        <v>520</v>
      </c>
      <c r="E39" s="164">
        <v>46021</v>
      </c>
      <c r="F39" s="331">
        <v>37.1</v>
      </c>
      <c r="G39" s="165">
        <v>21</v>
      </c>
      <c r="H39" s="166" t="s">
        <v>14</v>
      </c>
      <c r="I39" s="166" t="s">
        <v>26</v>
      </c>
      <c r="J39" s="166">
        <v>3</v>
      </c>
      <c r="K39" s="163" t="s">
        <v>16</v>
      </c>
      <c r="L39" s="166">
        <v>6</v>
      </c>
      <c r="M39" s="261">
        <v>7</v>
      </c>
      <c r="N39" s="168">
        <v>6.6666666666666696</v>
      </c>
      <c r="O39" s="287">
        <v>3</v>
      </c>
      <c r="P39" s="352"/>
      <c r="Q39" s="13"/>
    </row>
    <row r="40" spans="1:17" ht="19.5" customHeight="1" thickBot="1" x14ac:dyDescent="0.35">
      <c r="A40" s="37"/>
      <c r="B40" s="162">
        <f t="shared" si="3"/>
        <v>2026</v>
      </c>
      <c r="C40" s="154">
        <f>C3</f>
        <v>1</v>
      </c>
      <c r="D40" s="163">
        <v>801</v>
      </c>
      <c r="E40" s="164">
        <v>46021</v>
      </c>
      <c r="F40" s="331">
        <v>36.9</v>
      </c>
      <c r="G40" s="165">
        <v>22</v>
      </c>
      <c r="H40" s="166" t="s">
        <v>14</v>
      </c>
      <c r="I40" s="166" t="s">
        <v>26</v>
      </c>
      <c r="J40" s="166">
        <v>3</v>
      </c>
      <c r="K40" s="163" t="s">
        <v>16</v>
      </c>
      <c r="L40" s="166">
        <v>6</v>
      </c>
      <c r="M40" s="261">
        <v>8</v>
      </c>
      <c r="N40" s="168">
        <v>7</v>
      </c>
      <c r="O40" s="287">
        <v>1</v>
      </c>
      <c r="P40" s="352"/>
      <c r="Q40" s="13"/>
    </row>
    <row r="41" spans="1:17" ht="19.5" customHeight="1" thickBot="1" x14ac:dyDescent="0.35">
      <c r="A41" s="37"/>
      <c r="B41" s="170">
        <f t="shared" si="3"/>
        <v>2026</v>
      </c>
      <c r="C41" s="171">
        <f>C3</f>
        <v>1</v>
      </c>
      <c r="D41" s="172">
        <v>804</v>
      </c>
      <c r="E41" s="173">
        <v>46021</v>
      </c>
      <c r="F41" s="332">
        <v>33.1</v>
      </c>
      <c r="G41" s="174">
        <v>23</v>
      </c>
      <c r="H41" s="175" t="s">
        <v>14</v>
      </c>
      <c r="I41" s="175" t="s">
        <v>26</v>
      </c>
      <c r="J41" s="175">
        <v>4</v>
      </c>
      <c r="K41" s="172" t="s">
        <v>16</v>
      </c>
      <c r="L41" s="175">
        <v>5</v>
      </c>
      <c r="M41" s="262">
        <v>6</v>
      </c>
      <c r="N41" s="177">
        <v>5.75</v>
      </c>
      <c r="O41" s="288">
        <v>3</v>
      </c>
      <c r="P41" s="352"/>
      <c r="Q41" s="13"/>
    </row>
    <row r="42" spans="1:17" ht="19.5" customHeight="1" x14ac:dyDescent="0.3">
      <c r="A42" s="37"/>
      <c r="B42" s="179">
        <f t="shared" si="3"/>
        <v>2026</v>
      </c>
      <c r="C42" s="180">
        <f>C3</f>
        <v>1</v>
      </c>
      <c r="D42" s="181">
        <v>703</v>
      </c>
      <c r="E42" s="182">
        <v>46021</v>
      </c>
      <c r="F42" s="333">
        <v>44.2</v>
      </c>
      <c r="G42" s="183">
        <v>20</v>
      </c>
      <c r="H42" s="184" t="s">
        <v>14</v>
      </c>
      <c r="I42" s="185" t="s">
        <v>26</v>
      </c>
      <c r="J42" s="185">
        <v>1</v>
      </c>
      <c r="K42" s="181" t="s">
        <v>16</v>
      </c>
      <c r="L42" s="185">
        <v>8</v>
      </c>
      <c r="M42" s="263">
        <v>8</v>
      </c>
      <c r="N42" s="187">
        <v>8</v>
      </c>
      <c r="O42" s="289">
        <v>0</v>
      </c>
      <c r="P42" s="353" t="s">
        <v>36</v>
      </c>
      <c r="Q42" s="13"/>
    </row>
    <row r="43" spans="1:17" ht="19.5" customHeight="1" x14ac:dyDescent="0.3">
      <c r="A43" s="37"/>
      <c r="B43" s="189">
        <f t="shared" si="3"/>
        <v>2026</v>
      </c>
      <c r="C43" s="190">
        <f>C3</f>
        <v>1</v>
      </c>
      <c r="D43" s="191">
        <v>704</v>
      </c>
      <c r="E43" s="192">
        <v>46021</v>
      </c>
      <c r="F43" s="334">
        <v>56.1</v>
      </c>
      <c r="G43" s="193">
        <v>15</v>
      </c>
      <c r="H43" s="184" t="s">
        <v>14</v>
      </c>
      <c r="I43" s="194" t="s">
        <v>26</v>
      </c>
      <c r="J43" s="194">
        <v>2</v>
      </c>
      <c r="K43" s="191" t="s">
        <v>16</v>
      </c>
      <c r="L43" s="194">
        <v>6</v>
      </c>
      <c r="M43" s="264">
        <v>6</v>
      </c>
      <c r="N43" s="196">
        <v>6</v>
      </c>
      <c r="O43" s="290">
        <v>2</v>
      </c>
      <c r="P43" s="354"/>
      <c r="Q43" s="13"/>
    </row>
    <row r="44" spans="1:17" ht="19.5" customHeight="1" x14ac:dyDescent="0.3">
      <c r="A44" s="37"/>
      <c r="B44" s="189">
        <f t="shared" si="3"/>
        <v>2026</v>
      </c>
      <c r="C44" s="190">
        <f>C3</f>
        <v>1</v>
      </c>
      <c r="D44" s="191">
        <v>705</v>
      </c>
      <c r="E44" s="192">
        <v>46021</v>
      </c>
      <c r="F44" s="334">
        <v>43.3</v>
      </c>
      <c r="G44" s="193">
        <v>18</v>
      </c>
      <c r="H44" s="184" t="s">
        <v>14</v>
      </c>
      <c r="I44" s="194" t="s">
        <v>15</v>
      </c>
      <c r="J44" s="194"/>
      <c r="K44" s="191" t="s">
        <v>16</v>
      </c>
      <c r="L44" s="194"/>
      <c r="M44" s="264"/>
      <c r="N44" s="196"/>
      <c r="O44" s="290"/>
      <c r="P44" s="354"/>
      <c r="Q44" s="13"/>
    </row>
    <row r="45" spans="1:17" ht="19.5" customHeight="1" x14ac:dyDescent="0.3">
      <c r="A45" s="37"/>
      <c r="B45" s="189">
        <f t="shared" si="3"/>
        <v>2026</v>
      </c>
      <c r="C45" s="190">
        <f>C3</f>
        <v>1</v>
      </c>
      <c r="D45" s="191">
        <v>706</v>
      </c>
      <c r="E45" s="192">
        <v>46021</v>
      </c>
      <c r="F45" s="334">
        <v>49.2</v>
      </c>
      <c r="G45" s="193">
        <v>19</v>
      </c>
      <c r="H45" s="184" t="s">
        <v>14</v>
      </c>
      <c r="I45" s="194" t="s">
        <v>15</v>
      </c>
      <c r="J45" s="194"/>
      <c r="K45" s="191" t="s">
        <v>16</v>
      </c>
      <c r="L45" s="194"/>
      <c r="M45" s="264"/>
      <c r="N45" s="196"/>
      <c r="O45" s="290"/>
      <c r="P45" s="354"/>
      <c r="Q45" s="13"/>
    </row>
    <row r="46" spans="1:17" ht="19.5" customHeight="1" x14ac:dyDescent="0.3">
      <c r="A46" s="37"/>
      <c r="B46" s="189">
        <f t="shared" si="3"/>
        <v>2026</v>
      </c>
      <c r="C46" s="190">
        <f>C3</f>
        <v>1</v>
      </c>
      <c r="D46" s="191">
        <v>707</v>
      </c>
      <c r="E46" s="192">
        <v>46021</v>
      </c>
      <c r="F46" s="334">
        <v>48.6</v>
      </c>
      <c r="G46" s="193">
        <v>23</v>
      </c>
      <c r="H46" s="184" t="s">
        <v>14</v>
      </c>
      <c r="I46" s="194" t="s">
        <v>26</v>
      </c>
      <c r="J46" s="194">
        <v>1</v>
      </c>
      <c r="K46" s="191" t="s">
        <v>16</v>
      </c>
      <c r="L46" s="194">
        <v>6</v>
      </c>
      <c r="M46" s="264">
        <v>6</v>
      </c>
      <c r="N46" s="196">
        <v>6</v>
      </c>
      <c r="O46" s="290">
        <v>0</v>
      </c>
      <c r="P46" s="354"/>
      <c r="Q46" s="13"/>
    </row>
    <row r="47" spans="1:17" ht="19.5" customHeight="1" x14ac:dyDescent="0.3">
      <c r="A47" s="37"/>
      <c r="B47" s="189">
        <f t="shared" si="3"/>
        <v>2026</v>
      </c>
      <c r="C47" s="190">
        <f>C3</f>
        <v>1</v>
      </c>
      <c r="D47" s="191">
        <v>711</v>
      </c>
      <c r="E47" s="192">
        <v>46021</v>
      </c>
      <c r="F47" s="334">
        <v>65.5</v>
      </c>
      <c r="G47" s="193">
        <v>13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4"/>
      <c r="Q47" s="13"/>
    </row>
    <row r="48" spans="1:17" ht="19.5" customHeight="1" x14ac:dyDescent="0.3">
      <c r="A48" s="37"/>
      <c r="B48" s="198">
        <f t="shared" si="3"/>
        <v>2026</v>
      </c>
      <c r="C48" s="198">
        <f>C3</f>
        <v>1</v>
      </c>
      <c r="D48" s="199">
        <v>716</v>
      </c>
      <c r="E48" s="200">
        <v>46021</v>
      </c>
      <c r="F48" s="335">
        <v>48</v>
      </c>
      <c r="G48" s="201">
        <v>17</v>
      </c>
      <c r="H48" s="202" t="s">
        <v>14</v>
      </c>
      <c r="I48" s="201" t="s">
        <v>15</v>
      </c>
      <c r="J48" s="201"/>
      <c r="K48" s="199" t="s">
        <v>16</v>
      </c>
      <c r="L48" s="265"/>
      <c r="M48" s="266"/>
      <c r="N48" s="204"/>
      <c r="O48" s="291"/>
      <c r="P48" s="354"/>
      <c r="Q48" s="13"/>
    </row>
    <row r="49" spans="1:17" ht="19.5" customHeight="1" thickBot="1" x14ac:dyDescent="0.35">
      <c r="A49" s="37"/>
      <c r="B49" s="189">
        <f t="shared" si="3"/>
        <v>2026</v>
      </c>
      <c r="C49" s="190">
        <f>C3</f>
        <v>1</v>
      </c>
      <c r="D49" s="191">
        <v>723</v>
      </c>
      <c r="E49" s="192">
        <v>46021</v>
      </c>
      <c r="F49" s="334">
        <v>59.6</v>
      </c>
      <c r="G49" s="193">
        <v>16</v>
      </c>
      <c r="H49" s="184" t="s">
        <v>14</v>
      </c>
      <c r="I49" s="193" t="s">
        <v>15</v>
      </c>
      <c r="J49" s="194"/>
      <c r="K49" s="184" t="s">
        <v>16</v>
      </c>
      <c r="L49" s="193"/>
      <c r="M49" s="267"/>
      <c r="N49" s="207"/>
      <c r="O49" s="292"/>
      <c r="P49" s="355"/>
      <c r="Q49" s="13"/>
    </row>
    <row r="50" spans="1:17" ht="19.5" customHeight="1" thickBot="1" x14ac:dyDescent="0.35">
      <c r="A50" s="37"/>
      <c r="B50" s="209">
        <v>2026</v>
      </c>
      <c r="C50" s="210">
        <f>C3</f>
        <v>1</v>
      </c>
      <c r="D50" s="211">
        <v>809</v>
      </c>
      <c r="E50" s="212">
        <v>46020</v>
      </c>
      <c r="F50" s="336">
        <v>29.1</v>
      </c>
      <c r="G50" s="213">
        <v>25</v>
      </c>
      <c r="H50" s="211" t="s">
        <v>14</v>
      </c>
      <c r="I50" s="214" t="s">
        <v>15</v>
      </c>
      <c r="J50" s="214"/>
      <c r="K50" s="211" t="s">
        <v>16</v>
      </c>
      <c r="L50" s="214"/>
      <c r="M50" s="268"/>
      <c r="N50" s="216"/>
      <c r="O50" s="293"/>
      <c r="P50" s="345" t="s">
        <v>30</v>
      </c>
      <c r="Q50" s="13"/>
    </row>
    <row r="51" spans="1:17" ht="19.5" customHeight="1" thickBot="1" x14ac:dyDescent="0.35">
      <c r="A51" s="37"/>
      <c r="B51" s="218">
        <f t="shared" si="3"/>
        <v>2026</v>
      </c>
      <c r="C51" s="219">
        <f>C3</f>
        <v>1</v>
      </c>
      <c r="D51" s="220">
        <v>812</v>
      </c>
      <c r="E51" s="221">
        <v>46020</v>
      </c>
      <c r="F51" s="337">
        <v>34.299999999999997</v>
      </c>
      <c r="G51" s="222">
        <v>15</v>
      </c>
      <c r="H51" s="220" t="s">
        <v>14</v>
      </c>
      <c r="I51" s="223" t="s">
        <v>15</v>
      </c>
      <c r="J51" s="223"/>
      <c r="K51" s="220" t="s">
        <v>16</v>
      </c>
      <c r="L51" s="223"/>
      <c r="M51" s="269"/>
      <c r="N51" s="225"/>
      <c r="O51" s="294"/>
      <c r="P51" s="345"/>
      <c r="Q51" s="13"/>
    </row>
    <row r="52" spans="1:17" ht="19.5" customHeight="1" thickBot="1" x14ac:dyDescent="0.35">
      <c r="A52" s="37"/>
      <c r="B52" s="227">
        <f t="shared" si="3"/>
        <v>2026</v>
      </c>
      <c r="C52" s="228">
        <f>C3</f>
        <v>1</v>
      </c>
      <c r="D52" s="229">
        <v>815</v>
      </c>
      <c r="E52" s="230">
        <v>46020</v>
      </c>
      <c r="F52" s="338">
        <v>50.6</v>
      </c>
      <c r="G52" s="231">
        <v>19</v>
      </c>
      <c r="H52" s="232" t="s">
        <v>14</v>
      </c>
      <c r="I52" s="233" t="s">
        <v>15</v>
      </c>
      <c r="J52" s="233"/>
      <c r="K52" s="229" t="s">
        <v>16</v>
      </c>
      <c r="L52" s="233"/>
      <c r="M52" s="270"/>
      <c r="N52" s="235"/>
      <c r="O52" s="295"/>
      <c r="P52" s="345"/>
      <c r="Q52" s="13"/>
    </row>
    <row r="53" spans="1:17" ht="19.5" customHeight="1" thickBot="1" x14ac:dyDescent="0.35">
      <c r="A53" s="37"/>
      <c r="B53" s="227">
        <f t="shared" si="3"/>
        <v>2026</v>
      </c>
      <c r="C53" s="228">
        <f>C3</f>
        <v>1</v>
      </c>
      <c r="D53" s="229">
        <v>901</v>
      </c>
      <c r="E53" s="237">
        <v>46020</v>
      </c>
      <c r="F53" s="339">
        <v>26.8</v>
      </c>
      <c r="G53" s="231">
        <v>30</v>
      </c>
      <c r="H53" s="232" t="s">
        <v>14</v>
      </c>
      <c r="I53" s="233" t="s">
        <v>15</v>
      </c>
      <c r="J53" s="233"/>
      <c r="K53" s="229" t="s">
        <v>16</v>
      </c>
      <c r="L53" s="233"/>
      <c r="M53" s="270"/>
      <c r="N53" s="235"/>
      <c r="O53" s="295"/>
      <c r="P53" s="345"/>
      <c r="Q53" s="13"/>
    </row>
    <row r="54" spans="1:17" ht="19.5" customHeight="1" thickBot="1" x14ac:dyDescent="0.35">
      <c r="A54" s="37"/>
      <c r="B54" s="227">
        <f t="shared" si="3"/>
        <v>2026</v>
      </c>
      <c r="C54" s="228">
        <f>C3</f>
        <v>1</v>
      </c>
      <c r="D54" s="229">
        <v>902</v>
      </c>
      <c r="E54" s="237">
        <v>46020</v>
      </c>
      <c r="F54" s="339">
        <v>2.7</v>
      </c>
      <c r="G54" s="231">
        <v>200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5"/>
      <c r="Q54" s="13"/>
    </row>
    <row r="55" spans="1:17" ht="19.5" customHeight="1" thickBot="1" x14ac:dyDescent="0.35">
      <c r="A55" s="37"/>
      <c r="B55" s="227">
        <f t="shared" si="3"/>
        <v>2026</v>
      </c>
      <c r="C55" s="228">
        <f>C3</f>
        <v>1</v>
      </c>
      <c r="D55" s="229">
        <v>906</v>
      </c>
      <c r="E55" s="237">
        <v>46020</v>
      </c>
      <c r="F55" s="339">
        <v>10.9</v>
      </c>
      <c r="G55" s="231">
        <v>60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5"/>
      <c r="Q55" s="13"/>
    </row>
    <row r="56" spans="1:17" ht="19.5" customHeight="1" thickBot="1" x14ac:dyDescent="0.35">
      <c r="A56" s="37"/>
      <c r="B56" s="227">
        <f t="shared" si="3"/>
        <v>2026</v>
      </c>
      <c r="C56" s="228">
        <f>C3</f>
        <v>1</v>
      </c>
      <c r="D56" s="229">
        <v>910</v>
      </c>
      <c r="E56" s="237">
        <v>46020</v>
      </c>
      <c r="F56" s="339">
        <v>6.9</v>
      </c>
      <c r="G56" s="231">
        <v>95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5"/>
      <c r="Q56" s="13"/>
    </row>
    <row r="57" spans="1:17" ht="19.5" customHeight="1" thickBot="1" x14ac:dyDescent="0.35">
      <c r="A57" s="37"/>
      <c r="B57" s="227">
        <f t="shared" si="3"/>
        <v>2026</v>
      </c>
      <c r="C57" s="228">
        <f>C3</f>
        <v>1</v>
      </c>
      <c r="D57" s="229">
        <v>912</v>
      </c>
      <c r="E57" s="237">
        <v>46020</v>
      </c>
      <c r="F57" s="339">
        <v>10.9</v>
      </c>
      <c r="G57" s="231">
        <v>78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5"/>
      <c r="Q57" s="13"/>
    </row>
    <row r="58" spans="1:17" ht="19.5" customHeight="1" thickBot="1" x14ac:dyDescent="0.35">
      <c r="A58" s="37"/>
      <c r="B58" s="227">
        <f t="shared" si="3"/>
        <v>2026</v>
      </c>
      <c r="C58" s="228">
        <f>C3</f>
        <v>1</v>
      </c>
      <c r="D58" s="229">
        <v>914</v>
      </c>
      <c r="E58" s="237">
        <v>46020</v>
      </c>
      <c r="F58" s="339">
        <v>2.7</v>
      </c>
      <c r="G58" s="231">
        <v>200</v>
      </c>
      <c r="H58" s="232" t="s">
        <v>14</v>
      </c>
      <c r="I58" s="233" t="s">
        <v>15</v>
      </c>
      <c r="J58" s="233"/>
      <c r="K58" s="229" t="s">
        <v>16</v>
      </c>
      <c r="L58" s="233"/>
      <c r="M58" s="270"/>
      <c r="N58" s="235"/>
      <c r="O58" s="295"/>
      <c r="P58" s="345"/>
      <c r="Q58" s="13"/>
    </row>
    <row r="59" spans="1:17" ht="19.5" customHeight="1" thickBot="1" x14ac:dyDescent="0.35">
      <c r="A59" s="37"/>
      <c r="B59" s="227">
        <f t="shared" si="3"/>
        <v>2026</v>
      </c>
      <c r="C59" s="228">
        <f>C3</f>
        <v>1</v>
      </c>
      <c r="D59" s="229">
        <v>915</v>
      </c>
      <c r="E59" s="237">
        <v>46020</v>
      </c>
      <c r="F59" s="339">
        <v>3.7</v>
      </c>
      <c r="G59" s="231">
        <v>155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5"/>
      <c r="Q59" s="13"/>
    </row>
    <row r="60" spans="1:17" ht="19.5" customHeight="1" thickBot="1" x14ac:dyDescent="0.35">
      <c r="A60" s="37"/>
      <c r="B60" s="297">
        <f t="shared" si="3"/>
        <v>2026</v>
      </c>
      <c r="C60" s="298">
        <f>C3</f>
        <v>1</v>
      </c>
      <c r="D60" s="299">
        <v>918</v>
      </c>
      <c r="E60" s="300"/>
      <c r="F60" s="341"/>
      <c r="G60" s="301"/>
      <c r="H60" s="302" t="s">
        <v>27</v>
      </c>
      <c r="I60" s="303"/>
      <c r="J60" s="303"/>
      <c r="K60" s="299"/>
      <c r="L60" s="303"/>
      <c r="M60" s="304"/>
      <c r="N60" s="305"/>
      <c r="O60" s="306"/>
      <c r="P60" s="345"/>
      <c r="Q60" s="13"/>
    </row>
    <row r="61" spans="1:17" ht="19.5" customHeight="1" thickBot="1" x14ac:dyDescent="0.35">
      <c r="A61" s="37"/>
      <c r="B61" s="238">
        <f t="shared" si="3"/>
        <v>2026</v>
      </c>
      <c r="C61" s="239">
        <f>C3</f>
        <v>1</v>
      </c>
      <c r="D61" s="240">
        <v>919</v>
      </c>
      <c r="E61" s="241">
        <v>46020</v>
      </c>
      <c r="F61" s="340">
        <v>31.1</v>
      </c>
      <c r="G61" s="242">
        <v>24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5"/>
      <c r="Q61" s="13"/>
    </row>
    <row r="62" spans="1:17" ht="19.5" customHeight="1" x14ac:dyDescent="0.3">
      <c r="A62" s="37"/>
      <c r="B62" s="4" t="s">
        <v>20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7"/>
      <c r="B63" s="4" t="s">
        <v>21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7"/>
      <c r="B64" s="4" t="s">
        <v>22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7"/>
      <c r="B65" s="7" t="s">
        <v>28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23"/>
    </row>
    <row r="66" spans="1:30" ht="19.5" customHeight="1" x14ac:dyDescent="0.3">
      <c r="A66" s="37"/>
      <c r="B66" s="24"/>
      <c r="C66" s="24"/>
      <c r="D66" s="24"/>
      <c r="E66" s="24"/>
      <c r="F66" s="24"/>
      <c r="G66"/>
      <c r="H66"/>
      <c r="I66"/>
      <c r="J66"/>
      <c r="K66"/>
      <c r="L66"/>
      <c r="M66"/>
      <c r="N66"/>
      <c r="O66"/>
      <c r="P66"/>
      <c r="Q66" s="2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 s="33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 s="34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 s="35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 s="24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 s="24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 s="24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 s="2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</row>
    <row r="78" spans="1:30" ht="14.4" x14ac:dyDescent="0.3">
      <c r="G78"/>
      <c r="H78"/>
      <c r="I78"/>
      <c r="J78"/>
      <c r="K78"/>
      <c r="L78"/>
      <c r="M78"/>
      <c r="N78"/>
      <c r="O78"/>
      <c r="P78"/>
    </row>
    <row r="79" spans="1:30" ht="14.4" x14ac:dyDescent="0.3">
      <c r="G79"/>
      <c r="H79"/>
      <c r="I79"/>
      <c r="J79"/>
      <c r="K79"/>
      <c r="L79"/>
      <c r="M79"/>
      <c r="N79"/>
      <c r="O79"/>
      <c r="P79"/>
    </row>
    <row r="80" spans="1:30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5"/>
  <sheetViews>
    <sheetView workbookViewId="0">
      <selection activeCell="D54" sqref="D54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31</v>
      </c>
      <c r="D2" s="38" t="s">
        <v>32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f>'Survey 12'!B3</f>
        <v>2026</v>
      </c>
      <c r="C3" s="43">
        <v>2</v>
      </c>
      <c r="D3" s="43">
        <v>306</v>
      </c>
      <c r="E3" s="44">
        <v>46034</v>
      </c>
      <c r="F3" s="322">
        <v>8.8000000000000007</v>
      </c>
      <c r="G3" s="45">
        <v>47</v>
      </c>
      <c r="H3" s="43" t="s">
        <v>14</v>
      </c>
      <c r="I3" s="46" t="s">
        <v>26</v>
      </c>
      <c r="J3" s="45">
        <v>1</v>
      </c>
      <c r="K3" s="43" t="s">
        <v>16</v>
      </c>
      <c r="L3" s="45">
        <v>7</v>
      </c>
      <c r="M3" s="247">
        <v>7</v>
      </c>
      <c r="N3" s="48">
        <v>7</v>
      </c>
      <c r="O3" s="272">
        <v>1</v>
      </c>
      <c r="P3" s="346" t="s">
        <v>33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2</v>
      </c>
      <c r="D4" s="52">
        <v>308</v>
      </c>
      <c r="E4" s="53">
        <v>46034</v>
      </c>
      <c r="F4" s="58">
        <v>9.6999999999999993</v>
      </c>
      <c r="G4" s="54">
        <v>58</v>
      </c>
      <c r="H4" s="55" t="s">
        <v>14</v>
      </c>
      <c r="I4" s="56" t="s">
        <v>15</v>
      </c>
      <c r="J4" s="54"/>
      <c r="K4" s="52" t="s">
        <v>16</v>
      </c>
      <c r="L4" s="54"/>
      <c r="M4" s="248"/>
      <c r="N4" s="58"/>
      <c r="O4" s="273"/>
      <c r="P4" s="346"/>
      <c r="Q4" s="13"/>
    </row>
    <row r="5" spans="1:17" ht="19.5" customHeight="1" thickBot="1" x14ac:dyDescent="0.35">
      <c r="A5" s="37"/>
      <c r="B5" s="50">
        <f t="shared" ref="B5:C15" si="0">B4</f>
        <v>2026</v>
      </c>
      <c r="C5" s="51">
        <f t="shared" si="0"/>
        <v>2</v>
      </c>
      <c r="D5" s="50">
        <v>311</v>
      </c>
      <c r="E5" s="60">
        <v>46034</v>
      </c>
      <c r="F5" s="65">
        <v>11.7</v>
      </c>
      <c r="G5" s="61">
        <v>42</v>
      </c>
      <c r="H5" s="62" t="s">
        <v>14</v>
      </c>
      <c r="I5" s="63" t="s">
        <v>15</v>
      </c>
      <c r="J5" s="61"/>
      <c r="K5" s="50" t="s">
        <v>16</v>
      </c>
      <c r="L5" s="61"/>
      <c r="M5" s="249"/>
      <c r="N5" s="65"/>
      <c r="O5" s="274"/>
      <c r="P5" s="346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0"/>
        <v>2</v>
      </c>
      <c r="D6" s="50">
        <v>315</v>
      </c>
      <c r="E6" s="60">
        <v>46034</v>
      </c>
      <c r="F6" s="65">
        <v>11.9</v>
      </c>
      <c r="G6" s="61">
        <v>49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6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0"/>
        <v>2</v>
      </c>
      <c r="D7" s="50">
        <v>322</v>
      </c>
      <c r="E7" s="60">
        <v>46034</v>
      </c>
      <c r="F7" s="65">
        <v>10.6</v>
      </c>
      <c r="G7" s="61">
        <v>47</v>
      </c>
      <c r="H7" s="62" t="s">
        <v>14</v>
      </c>
      <c r="I7" s="63" t="s">
        <v>15</v>
      </c>
      <c r="J7" s="61"/>
      <c r="K7" s="50" t="s">
        <v>16</v>
      </c>
      <c r="L7" s="61"/>
      <c r="M7" s="249"/>
      <c r="N7" s="65"/>
      <c r="O7" s="274"/>
      <c r="P7" s="346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0"/>
        <v>2</v>
      </c>
      <c r="D8" s="50">
        <v>323</v>
      </c>
      <c r="E8" s="60">
        <v>46034</v>
      </c>
      <c r="F8" s="65">
        <v>19.399999999999999</v>
      </c>
      <c r="G8" s="61">
        <v>34</v>
      </c>
      <c r="H8" s="62" t="s">
        <v>14</v>
      </c>
      <c r="I8" s="63" t="s">
        <v>26</v>
      </c>
      <c r="J8" s="61">
        <v>9</v>
      </c>
      <c r="K8" s="50" t="s">
        <v>16</v>
      </c>
      <c r="L8" s="61">
        <v>7</v>
      </c>
      <c r="M8" s="249">
        <v>8</v>
      </c>
      <c r="N8" s="65">
        <v>7.3333333333333304</v>
      </c>
      <c r="O8" s="274">
        <v>6</v>
      </c>
      <c r="P8" s="346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0"/>
        <v>2</v>
      </c>
      <c r="D9" s="50">
        <v>327</v>
      </c>
      <c r="E9" s="60">
        <v>46034</v>
      </c>
      <c r="F9" s="65">
        <v>13.6</v>
      </c>
      <c r="G9" s="61">
        <v>44</v>
      </c>
      <c r="H9" s="62" t="s">
        <v>14</v>
      </c>
      <c r="I9" s="63" t="s">
        <v>15</v>
      </c>
      <c r="J9" s="61"/>
      <c r="K9" s="50" t="s">
        <v>16</v>
      </c>
      <c r="L9" s="61"/>
      <c r="M9" s="249"/>
      <c r="N9" s="65"/>
      <c r="O9" s="274"/>
      <c r="P9" s="346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0"/>
        <v>2</v>
      </c>
      <c r="D10" s="50">
        <v>328</v>
      </c>
      <c r="E10" s="60">
        <v>46034</v>
      </c>
      <c r="F10" s="65">
        <v>13.6</v>
      </c>
      <c r="G10" s="61">
        <v>39</v>
      </c>
      <c r="H10" s="62" t="s">
        <v>14</v>
      </c>
      <c r="I10" s="63" t="s">
        <v>26</v>
      </c>
      <c r="J10" s="61">
        <v>7</v>
      </c>
      <c r="K10" s="50" t="s">
        <v>16</v>
      </c>
      <c r="L10" s="61">
        <v>6</v>
      </c>
      <c r="M10" s="249">
        <v>8</v>
      </c>
      <c r="N10" s="65">
        <v>7.1428571428571397</v>
      </c>
      <c r="O10" s="274">
        <v>5</v>
      </c>
      <c r="P10" s="346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0"/>
        <v>2</v>
      </c>
      <c r="D11" s="50">
        <v>329</v>
      </c>
      <c r="E11" s="60">
        <v>46034</v>
      </c>
      <c r="F11" s="65">
        <v>12.2</v>
      </c>
      <c r="G11" s="61">
        <v>48</v>
      </c>
      <c r="H11" s="62" t="s">
        <v>14</v>
      </c>
      <c r="I11" s="63" t="s">
        <v>26</v>
      </c>
      <c r="J11" s="61">
        <v>2</v>
      </c>
      <c r="K11" s="50" t="s">
        <v>16</v>
      </c>
      <c r="L11" s="61">
        <v>8</v>
      </c>
      <c r="M11" s="249">
        <v>8</v>
      </c>
      <c r="N11" s="65">
        <v>8</v>
      </c>
      <c r="O11" s="274">
        <v>0</v>
      </c>
      <c r="P11" s="346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0"/>
        <v>2</v>
      </c>
      <c r="D12" s="50">
        <v>330</v>
      </c>
      <c r="E12" s="60">
        <v>46034</v>
      </c>
      <c r="F12" s="65">
        <v>20.399999999999999</v>
      </c>
      <c r="G12" s="61">
        <v>33</v>
      </c>
      <c r="H12" s="62" t="s">
        <v>14</v>
      </c>
      <c r="I12" s="63" t="s">
        <v>26</v>
      </c>
      <c r="J12" s="61">
        <v>14</v>
      </c>
      <c r="K12" s="50" t="s">
        <v>16</v>
      </c>
      <c r="L12" s="61">
        <v>7</v>
      </c>
      <c r="M12" s="249">
        <v>8</v>
      </c>
      <c r="N12" s="65">
        <v>7.5</v>
      </c>
      <c r="O12" s="274">
        <v>10</v>
      </c>
      <c r="P12" s="346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0"/>
        <v>2</v>
      </c>
      <c r="D13" s="50">
        <v>335</v>
      </c>
      <c r="E13" s="60">
        <v>46034</v>
      </c>
      <c r="F13" s="65">
        <v>14.3</v>
      </c>
      <c r="G13" s="61">
        <v>43</v>
      </c>
      <c r="H13" s="62" t="s">
        <v>14</v>
      </c>
      <c r="I13" s="63" t="s">
        <v>26</v>
      </c>
      <c r="J13" s="61">
        <v>4</v>
      </c>
      <c r="K13" s="50" t="s">
        <v>16</v>
      </c>
      <c r="L13" s="61">
        <v>7</v>
      </c>
      <c r="M13" s="249">
        <v>8</v>
      </c>
      <c r="N13" s="65">
        <v>7.25</v>
      </c>
      <c r="O13" s="274">
        <v>2</v>
      </c>
      <c r="P13" s="346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0"/>
        <v>2</v>
      </c>
      <c r="D14" s="50">
        <v>336</v>
      </c>
      <c r="E14" s="60">
        <v>46034</v>
      </c>
      <c r="F14" s="65">
        <v>13.7</v>
      </c>
      <c r="G14" s="61">
        <v>42</v>
      </c>
      <c r="H14" s="62" t="s">
        <v>14</v>
      </c>
      <c r="I14" s="63" t="s">
        <v>26</v>
      </c>
      <c r="J14" s="61">
        <v>11</v>
      </c>
      <c r="K14" s="50" t="s">
        <v>16</v>
      </c>
      <c r="L14" s="61">
        <v>6</v>
      </c>
      <c r="M14" s="249">
        <v>8</v>
      </c>
      <c r="N14" s="65">
        <v>7.4545454545454497</v>
      </c>
      <c r="O14" s="274">
        <v>11</v>
      </c>
      <c r="P14" s="346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0"/>
        <v>2</v>
      </c>
      <c r="D15" s="67">
        <v>338</v>
      </c>
      <c r="E15" s="68">
        <v>46035</v>
      </c>
      <c r="F15" s="72">
        <v>12</v>
      </c>
      <c r="G15" s="69">
        <v>47</v>
      </c>
      <c r="H15" s="62" t="s">
        <v>14</v>
      </c>
      <c r="I15" s="70" t="s">
        <v>26</v>
      </c>
      <c r="J15" s="69">
        <v>7</v>
      </c>
      <c r="K15" s="67" t="s">
        <v>16</v>
      </c>
      <c r="L15" s="69">
        <v>6</v>
      </c>
      <c r="M15" s="250">
        <v>8</v>
      </c>
      <c r="N15" s="72">
        <v>7</v>
      </c>
      <c r="O15" s="275">
        <v>6</v>
      </c>
      <c r="P15" s="346"/>
      <c r="Q15" s="13"/>
    </row>
    <row r="16" spans="1:17" ht="19.5" customHeight="1" x14ac:dyDescent="0.3">
      <c r="A16" s="37"/>
      <c r="B16" s="74">
        <f>B15</f>
        <v>2026</v>
      </c>
      <c r="C16" s="75">
        <f>C3</f>
        <v>2</v>
      </c>
      <c r="D16" s="74">
        <v>340</v>
      </c>
      <c r="E16" s="76">
        <v>46035</v>
      </c>
      <c r="F16" s="323">
        <v>15.7</v>
      </c>
      <c r="G16" s="77">
        <v>38</v>
      </c>
      <c r="H16" s="74" t="s">
        <v>14</v>
      </c>
      <c r="I16" s="78" t="s">
        <v>26</v>
      </c>
      <c r="J16" s="78">
        <v>19</v>
      </c>
      <c r="K16" s="74" t="s">
        <v>16</v>
      </c>
      <c r="L16" s="78">
        <v>6</v>
      </c>
      <c r="M16" s="251">
        <v>8</v>
      </c>
      <c r="N16" s="80">
        <v>7.1052631578947398</v>
      </c>
      <c r="O16" s="276">
        <v>14</v>
      </c>
      <c r="P16" s="347" t="s">
        <v>12</v>
      </c>
      <c r="Q16" s="13"/>
    </row>
    <row r="17" spans="1:17" ht="19.5" customHeight="1" x14ac:dyDescent="0.3">
      <c r="A17" s="37"/>
      <c r="B17" s="297">
        <f>B16</f>
        <v>2026</v>
      </c>
      <c r="C17" s="297">
        <f>C3</f>
        <v>2</v>
      </c>
      <c r="D17" s="299">
        <v>342</v>
      </c>
      <c r="E17" s="300"/>
      <c r="F17" s="341"/>
      <c r="G17" s="301"/>
      <c r="H17" s="299" t="s">
        <v>27</v>
      </c>
      <c r="I17" s="303"/>
      <c r="J17" s="303"/>
      <c r="K17" s="299"/>
      <c r="L17" s="303"/>
      <c r="M17" s="304"/>
      <c r="N17" s="305"/>
      <c r="O17" s="306"/>
      <c r="P17" s="348"/>
      <c r="Q17" s="13"/>
    </row>
    <row r="18" spans="1:17" ht="19.5" customHeight="1" x14ac:dyDescent="0.3">
      <c r="A18" s="37"/>
      <c r="B18" s="297">
        <f t="shared" ref="B18:B19" si="1">B17</f>
        <v>2026</v>
      </c>
      <c r="C18" s="297">
        <f>C3</f>
        <v>2</v>
      </c>
      <c r="D18" s="299">
        <v>343</v>
      </c>
      <c r="E18" s="300"/>
      <c r="F18" s="341"/>
      <c r="G18" s="301"/>
      <c r="H18" s="299" t="s">
        <v>27</v>
      </c>
      <c r="I18" s="303"/>
      <c r="J18" s="303"/>
      <c r="K18" s="299"/>
      <c r="L18" s="303"/>
      <c r="M18" s="304"/>
      <c r="N18" s="305"/>
      <c r="O18" s="306"/>
      <c r="P18" s="348"/>
      <c r="Q18" s="13"/>
    </row>
    <row r="19" spans="1:17" ht="19.5" customHeight="1" x14ac:dyDescent="0.3">
      <c r="A19" s="37"/>
      <c r="B19" s="297">
        <f t="shared" si="1"/>
        <v>2026</v>
      </c>
      <c r="C19" s="297">
        <f>C4</f>
        <v>2</v>
      </c>
      <c r="D19" s="299">
        <v>344</v>
      </c>
      <c r="E19" s="300"/>
      <c r="F19" s="341"/>
      <c r="G19" s="301"/>
      <c r="H19" s="299" t="s">
        <v>27</v>
      </c>
      <c r="I19" s="303"/>
      <c r="J19" s="303"/>
      <c r="K19" s="299"/>
      <c r="L19" s="303"/>
      <c r="M19" s="304"/>
      <c r="N19" s="305"/>
      <c r="O19" s="306"/>
      <c r="P19" s="348"/>
      <c r="Q19" s="13"/>
    </row>
    <row r="20" spans="1:17" ht="19.5" customHeight="1" x14ac:dyDescent="0.3">
      <c r="A20" s="37"/>
      <c r="B20" s="297">
        <f>B19</f>
        <v>2026</v>
      </c>
      <c r="C20" s="297">
        <f>C5</f>
        <v>2</v>
      </c>
      <c r="D20" s="299">
        <v>345</v>
      </c>
      <c r="E20" s="300"/>
      <c r="F20" s="341"/>
      <c r="G20" s="301"/>
      <c r="H20" s="299" t="s">
        <v>27</v>
      </c>
      <c r="I20" s="303"/>
      <c r="J20" s="303"/>
      <c r="K20" s="299"/>
      <c r="L20" s="303"/>
      <c r="M20" s="304"/>
      <c r="N20" s="305"/>
      <c r="O20" s="306"/>
      <c r="P20" s="348"/>
      <c r="Q20" s="13"/>
    </row>
    <row r="21" spans="1:17" ht="19.5" customHeight="1" x14ac:dyDescent="0.3">
      <c r="A21" s="37"/>
      <c r="B21" s="307">
        <f>B20</f>
        <v>2026</v>
      </c>
      <c r="C21" s="307">
        <f>C6</f>
        <v>2</v>
      </c>
      <c r="D21" s="308">
        <v>346</v>
      </c>
      <c r="E21" s="300"/>
      <c r="F21" s="341"/>
      <c r="G21" s="301"/>
      <c r="H21" s="299" t="s">
        <v>27</v>
      </c>
      <c r="I21" s="303"/>
      <c r="J21" s="303"/>
      <c r="K21" s="299"/>
      <c r="L21" s="303"/>
      <c r="M21" s="304"/>
      <c r="N21" s="305"/>
      <c r="O21" s="306"/>
      <c r="P21" s="348"/>
      <c r="Q21" s="13"/>
    </row>
    <row r="22" spans="1:17" ht="19.5" customHeight="1" x14ac:dyDescent="0.3">
      <c r="A22" s="37"/>
      <c r="B22" s="309">
        <f t="shared" ref="B22" si="2">B21</f>
        <v>2026</v>
      </c>
      <c r="C22" s="297">
        <f>C7</f>
        <v>2</v>
      </c>
      <c r="D22" s="299">
        <v>347</v>
      </c>
      <c r="E22" s="310"/>
      <c r="F22" s="342"/>
      <c r="G22" s="301"/>
      <c r="H22" s="299" t="s">
        <v>27</v>
      </c>
      <c r="I22" s="303"/>
      <c r="J22" s="303"/>
      <c r="K22" s="299"/>
      <c r="L22" s="303"/>
      <c r="M22" s="304"/>
      <c r="N22" s="305"/>
      <c r="O22" s="306"/>
      <c r="P22" s="348"/>
      <c r="Q22" s="13"/>
    </row>
    <row r="23" spans="1:17" ht="19.5" customHeight="1" x14ac:dyDescent="0.3">
      <c r="A23" s="37"/>
      <c r="B23" s="297">
        <f>B22</f>
        <v>2026</v>
      </c>
      <c r="C23" s="311">
        <f>C5</f>
        <v>2</v>
      </c>
      <c r="D23" s="302">
        <v>348</v>
      </c>
      <c r="E23" s="300"/>
      <c r="F23" s="341"/>
      <c r="G23" s="301"/>
      <c r="H23" s="299" t="s">
        <v>27</v>
      </c>
      <c r="I23" s="303"/>
      <c r="J23" s="303"/>
      <c r="K23" s="299"/>
      <c r="L23" s="303"/>
      <c r="M23" s="304"/>
      <c r="N23" s="312"/>
      <c r="O23" s="313"/>
      <c r="P23" s="348"/>
      <c r="Q23" s="13"/>
    </row>
    <row r="24" spans="1:17" ht="19.5" customHeight="1" thickBot="1" x14ac:dyDescent="0.35">
      <c r="A24" s="37"/>
      <c r="B24" s="314">
        <f>B23</f>
        <v>2026</v>
      </c>
      <c r="C24" s="307">
        <f>C6</f>
        <v>2</v>
      </c>
      <c r="D24" s="315">
        <v>349</v>
      </c>
      <c r="E24" s="316"/>
      <c r="F24" s="343"/>
      <c r="G24" s="317"/>
      <c r="H24" s="315" t="s">
        <v>27</v>
      </c>
      <c r="I24" s="318"/>
      <c r="J24" s="318"/>
      <c r="K24" s="315"/>
      <c r="L24" s="318"/>
      <c r="M24" s="319"/>
      <c r="N24" s="320"/>
      <c r="O24" s="321"/>
      <c r="P24" s="349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2</v>
      </c>
      <c r="D25" s="106">
        <v>401</v>
      </c>
      <c r="E25" s="108">
        <v>46035</v>
      </c>
      <c r="F25" s="327">
        <v>20.8</v>
      </c>
      <c r="G25" s="109">
        <v>28</v>
      </c>
      <c r="H25" s="106" t="s">
        <v>14</v>
      </c>
      <c r="I25" s="110" t="s">
        <v>26</v>
      </c>
      <c r="J25" s="110">
        <v>57</v>
      </c>
      <c r="K25" s="106" t="s">
        <v>16</v>
      </c>
      <c r="L25" s="110">
        <v>6</v>
      </c>
      <c r="M25" s="254">
        <v>8</v>
      </c>
      <c r="N25" s="112">
        <v>7.3333333333333304</v>
      </c>
      <c r="O25" s="280">
        <v>47</v>
      </c>
      <c r="P25" s="350" t="s">
        <v>34</v>
      </c>
      <c r="Q25" s="13"/>
    </row>
    <row r="26" spans="1:17" ht="19.5" customHeight="1" thickBot="1" x14ac:dyDescent="0.35">
      <c r="A26" s="37"/>
      <c r="B26" s="106">
        <f t="shared" ref="B26:B61" si="3">B25</f>
        <v>2026</v>
      </c>
      <c r="C26" s="114">
        <f>C3</f>
        <v>2</v>
      </c>
      <c r="D26" s="115">
        <v>404</v>
      </c>
      <c r="E26" s="116">
        <v>46034</v>
      </c>
      <c r="F26" s="327">
        <v>17.899999999999999</v>
      </c>
      <c r="G26" s="109">
        <v>38</v>
      </c>
      <c r="H26" s="115" t="s">
        <v>14</v>
      </c>
      <c r="I26" s="117" t="s">
        <v>26</v>
      </c>
      <c r="J26" s="117">
        <v>17</v>
      </c>
      <c r="K26" s="115" t="s">
        <v>16</v>
      </c>
      <c r="L26" s="117">
        <v>5</v>
      </c>
      <c r="M26" s="255">
        <v>8</v>
      </c>
      <c r="N26" s="119">
        <v>6.9375</v>
      </c>
      <c r="O26" s="281">
        <v>6</v>
      </c>
      <c r="P26" s="350"/>
      <c r="Q26" s="13"/>
    </row>
    <row r="27" spans="1:17" ht="19.5" customHeight="1" thickBot="1" x14ac:dyDescent="0.35">
      <c r="A27" s="37"/>
      <c r="B27" s="121">
        <f t="shared" si="3"/>
        <v>2026</v>
      </c>
      <c r="C27" s="121">
        <f>C3</f>
        <v>2</v>
      </c>
      <c r="D27" s="122">
        <v>405</v>
      </c>
      <c r="E27" s="123">
        <v>46034</v>
      </c>
      <c r="F27" s="126">
        <v>22.1</v>
      </c>
      <c r="G27" s="124">
        <v>35</v>
      </c>
      <c r="H27" s="122" t="s">
        <v>14</v>
      </c>
      <c r="I27" s="124" t="s">
        <v>26</v>
      </c>
      <c r="J27" s="124">
        <v>177</v>
      </c>
      <c r="K27" s="122" t="s">
        <v>16</v>
      </c>
      <c r="L27" s="124">
        <v>5</v>
      </c>
      <c r="M27" s="256">
        <v>9</v>
      </c>
      <c r="N27" s="126">
        <v>7.34</v>
      </c>
      <c r="O27" s="282">
        <v>116</v>
      </c>
      <c r="P27" s="350"/>
      <c r="Q27" s="13"/>
    </row>
    <row r="28" spans="1:17" ht="19.5" customHeight="1" thickBot="1" x14ac:dyDescent="0.35">
      <c r="A28" s="37"/>
      <c r="B28" s="128">
        <f t="shared" si="3"/>
        <v>2026</v>
      </c>
      <c r="C28" s="128">
        <f>C3</f>
        <v>2</v>
      </c>
      <c r="D28" s="129">
        <v>411</v>
      </c>
      <c r="E28" s="130">
        <v>46035</v>
      </c>
      <c r="F28" s="133">
        <v>27.3</v>
      </c>
      <c r="G28" s="131">
        <v>23</v>
      </c>
      <c r="H28" s="129" t="s">
        <v>14</v>
      </c>
      <c r="I28" s="131" t="s">
        <v>26</v>
      </c>
      <c r="J28" s="131">
        <v>36</v>
      </c>
      <c r="K28" s="129" t="s">
        <v>16</v>
      </c>
      <c r="L28" s="131">
        <v>6</v>
      </c>
      <c r="M28" s="257">
        <v>8</v>
      </c>
      <c r="N28" s="133">
        <v>7.5</v>
      </c>
      <c r="O28" s="283">
        <v>17</v>
      </c>
      <c r="P28" s="351" t="s">
        <v>35</v>
      </c>
      <c r="Q28" s="13"/>
    </row>
    <row r="29" spans="1:17" ht="19.5" customHeight="1" thickBot="1" x14ac:dyDescent="0.35">
      <c r="A29" s="37"/>
      <c r="B29" s="135">
        <f t="shared" si="3"/>
        <v>2026</v>
      </c>
      <c r="C29" s="135">
        <f>C3</f>
        <v>2</v>
      </c>
      <c r="D29" s="136">
        <v>418</v>
      </c>
      <c r="E29" s="137">
        <v>46035</v>
      </c>
      <c r="F29" s="140">
        <v>25.6</v>
      </c>
      <c r="G29" s="138">
        <v>25</v>
      </c>
      <c r="H29" s="136" t="s">
        <v>14</v>
      </c>
      <c r="I29" s="138" t="s">
        <v>26</v>
      </c>
      <c r="J29" s="138">
        <v>49</v>
      </c>
      <c r="K29" s="136" t="s">
        <v>16</v>
      </c>
      <c r="L29" s="138">
        <v>5</v>
      </c>
      <c r="M29" s="258">
        <v>8</v>
      </c>
      <c r="N29" s="140">
        <v>6.8979591836734704</v>
      </c>
      <c r="O29" s="284">
        <v>41</v>
      </c>
      <c r="P29" s="351"/>
      <c r="Q29" s="13"/>
    </row>
    <row r="30" spans="1:17" ht="19.5" customHeight="1" thickBot="1" x14ac:dyDescent="0.35">
      <c r="A30" s="37"/>
      <c r="B30" s="135">
        <f t="shared" si="3"/>
        <v>2026</v>
      </c>
      <c r="C30" s="135">
        <f>C3</f>
        <v>2</v>
      </c>
      <c r="D30" s="136">
        <v>501</v>
      </c>
      <c r="E30" s="142">
        <v>46035</v>
      </c>
      <c r="F30" s="328">
        <v>35</v>
      </c>
      <c r="G30" s="143">
        <v>24</v>
      </c>
      <c r="H30" s="136" t="s">
        <v>14</v>
      </c>
      <c r="I30" s="138" t="s">
        <v>26</v>
      </c>
      <c r="J30" s="138">
        <v>1</v>
      </c>
      <c r="K30" s="136" t="s">
        <v>16</v>
      </c>
      <c r="L30" s="138">
        <v>7</v>
      </c>
      <c r="M30" s="258">
        <v>7</v>
      </c>
      <c r="N30" s="140">
        <v>7</v>
      </c>
      <c r="O30" s="284">
        <v>1</v>
      </c>
      <c r="P30" s="351"/>
      <c r="Q30" s="13"/>
    </row>
    <row r="31" spans="1:17" ht="19.5" customHeight="1" thickBot="1" x14ac:dyDescent="0.35">
      <c r="A31" s="37"/>
      <c r="B31" s="135">
        <f t="shared" si="3"/>
        <v>2026</v>
      </c>
      <c r="C31" s="135">
        <f>C3</f>
        <v>2</v>
      </c>
      <c r="D31" s="136">
        <v>504</v>
      </c>
      <c r="E31" s="137">
        <v>46035</v>
      </c>
      <c r="F31" s="140">
        <v>30.5</v>
      </c>
      <c r="G31" s="138">
        <v>27</v>
      </c>
      <c r="H31" s="136" t="s">
        <v>14</v>
      </c>
      <c r="I31" s="138" t="s">
        <v>26</v>
      </c>
      <c r="J31" s="138">
        <v>6</v>
      </c>
      <c r="K31" s="136" t="s">
        <v>16</v>
      </c>
      <c r="L31" s="138">
        <v>6</v>
      </c>
      <c r="M31" s="258">
        <v>6</v>
      </c>
      <c r="N31" s="140">
        <v>6</v>
      </c>
      <c r="O31" s="284">
        <v>6</v>
      </c>
      <c r="P31" s="351"/>
      <c r="Q31" s="13"/>
    </row>
    <row r="32" spans="1:17" ht="19.5" customHeight="1" thickBot="1" x14ac:dyDescent="0.35">
      <c r="A32" s="37"/>
      <c r="B32" s="135">
        <f t="shared" si="3"/>
        <v>2026</v>
      </c>
      <c r="C32" s="135">
        <f>C3</f>
        <v>2</v>
      </c>
      <c r="D32" s="136">
        <v>519</v>
      </c>
      <c r="E32" s="137">
        <v>46035</v>
      </c>
      <c r="F32" s="140">
        <v>36.1</v>
      </c>
      <c r="G32" s="138">
        <v>18</v>
      </c>
      <c r="H32" s="136" t="s">
        <v>14</v>
      </c>
      <c r="I32" s="138" t="s">
        <v>26</v>
      </c>
      <c r="J32" s="138">
        <v>4</v>
      </c>
      <c r="K32" s="136" t="s">
        <v>16</v>
      </c>
      <c r="L32" s="138">
        <v>6</v>
      </c>
      <c r="M32" s="258">
        <v>6</v>
      </c>
      <c r="N32" s="140">
        <v>6</v>
      </c>
      <c r="O32" s="284">
        <v>4</v>
      </c>
      <c r="P32" s="351"/>
      <c r="Q32" s="13"/>
    </row>
    <row r="33" spans="1:17" ht="19.5" customHeight="1" thickBot="1" x14ac:dyDescent="0.35">
      <c r="A33" s="37"/>
      <c r="B33" s="135">
        <f t="shared" si="3"/>
        <v>2026</v>
      </c>
      <c r="C33" s="135">
        <f>C3</f>
        <v>2</v>
      </c>
      <c r="D33" s="136">
        <v>602</v>
      </c>
      <c r="E33" s="142">
        <v>46035</v>
      </c>
      <c r="F33" s="328">
        <v>36.200000000000003</v>
      </c>
      <c r="G33" s="143">
        <v>27</v>
      </c>
      <c r="H33" s="136" t="s">
        <v>14</v>
      </c>
      <c r="I33" s="138" t="s">
        <v>26</v>
      </c>
      <c r="J33" s="138">
        <v>4</v>
      </c>
      <c r="K33" s="136" t="s">
        <v>16</v>
      </c>
      <c r="L33" s="138">
        <v>7</v>
      </c>
      <c r="M33" s="258">
        <v>7</v>
      </c>
      <c r="N33" s="140">
        <v>7</v>
      </c>
      <c r="O33" s="284">
        <v>0</v>
      </c>
      <c r="P33" s="351"/>
      <c r="Q33" s="13"/>
    </row>
    <row r="34" spans="1:17" ht="19.5" customHeight="1" thickBot="1" x14ac:dyDescent="0.35">
      <c r="A34" s="37"/>
      <c r="B34" s="135">
        <f t="shared" si="3"/>
        <v>2026</v>
      </c>
      <c r="C34" s="135">
        <f>C3</f>
        <v>2</v>
      </c>
      <c r="D34" s="136">
        <v>606</v>
      </c>
      <c r="E34" s="137">
        <v>46035</v>
      </c>
      <c r="F34" s="140">
        <v>34.6</v>
      </c>
      <c r="G34" s="138">
        <v>11</v>
      </c>
      <c r="H34" s="136" t="s">
        <v>14</v>
      </c>
      <c r="I34" s="138" t="s">
        <v>26</v>
      </c>
      <c r="J34" s="138">
        <v>2</v>
      </c>
      <c r="K34" s="136" t="s">
        <v>16</v>
      </c>
      <c r="L34" s="138">
        <v>6</v>
      </c>
      <c r="M34" s="258">
        <v>8</v>
      </c>
      <c r="N34" s="140">
        <v>7</v>
      </c>
      <c r="O34" s="284">
        <v>1</v>
      </c>
      <c r="P34" s="351"/>
      <c r="Q34" s="13"/>
    </row>
    <row r="35" spans="1:17" ht="19.5" customHeight="1" thickBot="1" x14ac:dyDescent="0.35">
      <c r="A35" s="37"/>
      <c r="B35" s="135">
        <f t="shared" si="3"/>
        <v>2026</v>
      </c>
      <c r="C35" s="135">
        <f>C3</f>
        <v>2</v>
      </c>
      <c r="D35" s="136">
        <v>609</v>
      </c>
      <c r="E35" s="137">
        <v>46035</v>
      </c>
      <c r="F35" s="140">
        <v>21.6</v>
      </c>
      <c r="G35" s="138">
        <v>33</v>
      </c>
      <c r="H35" s="136" t="s">
        <v>14</v>
      </c>
      <c r="I35" s="138" t="s">
        <v>15</v>
      </c>
      <c r="J35" s="138"/>
      <c r="K35" s="136" t="s">
        <v>16</v>
      </c>
      <c r="L35" s="138"/>
      <c r="M35" s="258"/>
      <c r="N35" s="140"/>
      <c r="O35" s="284"/>
      <c r="P35" s="351"/>
      <c r="Q35" s="13"/>
    </row>
    <row r="36" spans="1:17" ht="19.5" customHeight="1" thickBot="1" x14ac:dyDescent="0.35">
      <c r="A36" s="37"/>
      <c r="B36" s="144">
        <f t="shared" si="3"/>
        <v>2026</v>
      </c>
      <c r="C36" s="145">
        <f>C3</f>
        <v>2</v>
      </c>
      <c r="D36" s="146">
        <v>610</v>
      </c>
      <c r="E36" s="147">
        <v>46035</v>
      </c>
      <c r="F36" s="329">
        <v>29.5</v>
      </c>
      <c r="G36" s="148">
        <v>24</v>
      </c>
      <c r="H36" s="146" t="s">
        <v>14</v>
      </c>
      <c r="I36" s="149" t="s">
        <v>26</v>
      </c>
      <c r="J36" s="149">
        <v>1</v>
      </c>
      <c r="K36" s="146" t="s">
        <v>16</v>
      </c>
      <c r="L36" s="149">
        <v>6</v>
      </c>
      <c r="M36" s="259">
        <v>6</v>
      </c>
      <c r="N36" s="151">
        <v>6</v>
      </c>
      <c r="O36" s="285">
        <v>0</v>
      </c>
      <c r="P36" s="351"/>
      <c r="Q36" s="13"/>
    </row>
    <row r="37" spans="1:17" ht="19.5" customHeight="1" thickBot="1" x14ac:dyDescent="0.35">
      <c r="A37" s="37"/>
      <c r="B37" s="153">
        <f t="shared" si="3"/>
        <v>2026</v>
      </c>
      <c r="C37" s="154">
        <f>C3</f>
        <v>2</v>
      </c>
      <c r="D37" s="155">
        <v>508</v>
      </c>
      <c r="E37" s="156">
        <v>46035</v>
      </c>
      <c r="F37" s="330">
        <v>29.1</v>
      </c>
      <c r="G37" s="157">
        <v>24</v>
      </c>
      <c r="H37" s="158" t="s">
        <v>14</v>
      </c>
      <c r="I37" s="158" t="s">
        <v>26</v>
      </c>
      <c r="J37" s="158">
        <v>5</v>
      </c>
      <c r="K37" s="155" t="s">
        <v>16</v>
      </c>
      <c r="L37" s="158">
        <v>6</v>
      </c>
      <c r="M37" s="260">
        <v>7</v>
      </c>
      <c r="N37" s="160">
        <v>6.2</v>
      </c>
      <c r="O37" s="286">
        <v>4</v>
      </c>
      <c r="P37" s="352" t="s">
        <v>13</v>
      </c>
      <c r="Q37" s="13"/>
    </row>
    <row r="38" spans="1:17" ht="19.5" customHeight="1" thickBot="1" x14ac:dyDescent="0.35">
      <c r="A38" s="37"/>
      <c r="B38" s="162">
        <f t="shared" si="3"/>
        <v>2026</v>
      </c>
      <c r="C38" s="154">
        <f>C3</f>
        <v>2</v>
      </c>
      <c r="D38" s="163">
        <v>513</v>
      </c>
      <c r="E38" s="164">
        <v>46036</v>
      </c>
      <c r="F38" s="331">
        <v>32.1</v>
      </c>
      <c r="G38" s="165">
        <v>30</v>
      </c>
      <c r="H38" s="166" t="s">
        <v>14</v>
      </c>
      <c r="I38" s="166" t="s">
        <v>26</v>
      </c>
      <c r="J38" s="166">
        <v>1</v>
      </c>
      <c r="K38" s="163" t="s">
        <v>16</v>
      </c>
      <c r="L38" s="166">
        <v>7</v>
      </c>
      <c r="M38" s="261">
        <v>7</v>
      </c>
      <c r="N38" s="168">
        <v>7</v>
      </c>
      <c r="O38" s="287">
        <v>1</v>
      </c>
      <c r="P38" s="352"/>
      <c r="Q38" s="13"/>
    </row>
    <row r="39" spans="1:17" ht="19.5" customHeight="1" thickBot="1" x14ac:dyDescent="0.35">
      <c r="A39" s="37"/>
      <c r="B39" s="162">
        <f t="shared" si="3"/>
        <v>2026</v>
      </c>
      <c r="C39" s="154">
        <f>C3</f>
        <v>2</v>
      </c>
      <c r="D39" s="163">
        <v>520</v>
      </c>
      <c r="E39" s="164">
        <v>46036</v>
      </c>
      <c r="F39" s="331">
        <v>23.6</v>
      </c>
      <c r="G39" s="165">
        <v>27</v>
      </c>
      <c r="H39" s="166" t="s">
        <v>14</v>
      </c>
      <c r="I39" s="166" t="s">
        <v>26</v>
      </c>
      <c r="J39" s="166">
        <v>2</v>
      </c>
      <c r="K39" s="163" t="s">
        <v>16</v>
      </c>
      <c r="L39" s="166">
        <v>6</v>
      </c>
      <c r="M39" s="261">
        <v>7</v>
      </c>
      <c r="N39" s="168">
        <v>6.5</v>
      </c>
      <c r="O39" s="287">
        <v>2</v>
      </c>
      <c r="P39" s="352"/>
      <c r="Q39" s="13"/>
    </row>
    <row r="40" spans="1:17" ht="19.5" customHeight="1" thickBot="1" x14ac:dyDescent="0.35">
      <c r="A40" s="37"/>
      <c r="B40" s="162">
        <f t="shared" si="3"/>
        <v>2026</v>
      </c>
      <c r="C40" s="154">
        <f>C3</f>
        <v>2</v>
      </c>
      <c r="D40" s="163">
        <v>801</v>
      </c>
      <c r="E40" s="164">
        <v>46036</v>
      </c>
      <c r="F40" s="331">
        <v>25</v>
      </c>
      <c r="G40" s="165">
        <v>33</v>
      </c>
      <c r="H40" s="166" t="s">
        <v>14</v>
      </c>
      <c r="I40" s="166" t="s">
        <v>26</v>
      </c>
      <c r="J40" s="166">
        <v>2</v>
      </c>
      <c r="K40" s="163" t="s">
        <v>16</v>
      </c>
      <c r="L40" s="166">
        <v>6</v>
      </c>
      <c r="M40" s="261">
        <v>7</v>
      </c>
      <c r="N40" s="168">
        <v>6.5</v>
      </c>
      <c r="O40" s="287">
        <v>2</v>
      </c>
      <c r="P40" s="352"/>
      <c r="Q40" s="13"/>
    </row>
    <row r="41" spans="1:17" ht="19.5" customHeight="1" thickBot="1" x14ac:dyDescent="0.35">
      <c r="A41" s="37"/>
      <c r="B41" s="170">
        <f t="shared" si="3"/>
        <v>2026</v>
      </c>
      <c r="C41" s="171">
        <f>C3</f>
        <v>2</v>
      </c>
      <c r="D41" s="172">
        <v>804</v>
      </c>
      <c r="E41" s="173">
        <v>46036</v>
      </c>
      <c r="F41" s="332">
        <v>18.100000000000001</v>
      </c>
      <c r="G41" s="174">
        <v>42</v>
      </c>
      <c r="H41" s="175" t="s">
        <v>14</v>
      </c>
      <c r="I41" s="175" t="s">
        <v>26</v>
      </c>
      <c r="J41" s="175">
        <v>2</v>
      </c>
      <c r="K41" s="172" t="s">
        <v>16</v>
      </c>
      <c r="L41" s="175">
        <v>6</v>
      </c>
      <c r="M41" s="262">
        <v>6</v>
      </c>
      <c r="N41" s="177">
        <v>6</v>
      </c>
      <c r="O41" s="288">
        <v>2</v>
      </c>
      <c r="P41" s="352"/>
      <c r="Q41" s="13"/>
    </row>
    <row r="42" spans="1:17" ht="19.5" customHeight="1" x14ac:dyDescent="0.3">
      <c r="A42" s="37"/>
      <c r="B42" s="179">
        <f t="shared" si="3"/>
        <v>2026</v>
      </c>
      <c r="C42" s="180">
        <f>C3</f>
        <v>2</v>
      </c>
      <c r="D42" s="181">
        <v>703</v>
      </c>
      <c r="E42" s="182">
        <v>46036</v>
      </c>
      <c r="F42" s="333">
        <v>32.1</v>
      </c>
      <c r="G42" s="183">
        <v>42</v>
      </c>
      <c r="H42" s="184" t="s">
        <v>14</v>
      </c>
      <c r="I42" s="185" t="s">
        <v>15</v>
      </c>
      <c r="J42" s="185"/>
      <c r="K42" s="181" t="s">
        <v>16</v>
      </c>
      <c r="L42" s="185"/>
      <c r="M42" s="263"/>
      <c r="N42" s="187"/>
      <c r="O42" s="289"/>
      <c r="P42" s="353" t="s">
        <v>36</v>
      </c>
      <c r="Q42" s="13"/>
    </row>
    <row r="43" spans="1:17" ht="19.5" customHeight="1" x14ac:dyDescent="0.3">
      <c r="A43" s="37"/>
      <c r="B43" s="189">
        <f t="shared" si="3"/>
        <v>2026</v>
      </c>
      <c r="C43" s="190">
        <f>C3</f>
        <v>2</v>
      </c>
      <c r="D43" s="191">
        <v>704</v>
      </c>
      <c r="E43" s="192">
        <v>46036</v>
      </c>
      <c r="F43" s="334">
        <v>32.1</v>
      </c>
      <c r="G43" s="193">
        <v>31</v>
      </c>
      <c r="H43" s="184" t="s">
        <v>14</v>
      </c>
      <c r="I43" s="194" t="s">
        <v>15</v>
      </c>
      <c r="J43" s="194"/>
      <c r="K43" s="191" t="s">
        <v>16</v>
      </c>
      <c r="L43" s="194"/>
      <c r="M43" s="264"/>
      <c r="N43" s="196"/>
      <c r="O43" s="290"/>
      <c r="P43" s="354"/>
      <c r="Q43" s="13"/>
    </row>
    <row r="44" spans="1:17" ht="19.5" customHeight="1" x14ac:dyDescent="0.3">
      <c r="A44" s="37"/>
      <c r="B44" s="189">
        <f t="shared" si="3"/>
        <v>2026</v>
      </c>
      <c r="C44" s="190">
        <f>C3</f>
        <v>2</v>
      </c>
      <c r="D44" s="191">
        <v>705</v>
      </c>
      <c r="E44" s="192">
        <v>46036</v>
      </c>
      <c r="F44" s="334">
        <v>20</v>
      </c>
      <c r="G44" s="193">
        <v>49</v>
      </c>
      <c r="H44" s="184" t="s">
        <v>14</v>
      </c>
      <c r="I44" s="194" t="s">
        <v>15</v>
      </c>
      <c r="J44" s="194"/>
      <c r="K44" s="191" t="s">
        <v>16</v>
      </c>
      <c r="L44" s="194"/>
      <c r="M44" s="264"/>
      <c r="N44" s="196"/>
      <c r="O44" s="290"/>
      <c r="P44" s="354"/>
      <c r="Q44" s="13"/>
    </row>
    <row r="45" spans="1:17" ht="19.5" customHeight="1" x14ac:dyDescent="0.3">
      <c r="A45" s="37"/>
      <c r="B45" s="189">
        <f t="shared" si="3"/>
        <v>2026</v>
      </c>
      <c r="C45" s="190">
        <f>C3</f>
        <v>2</v>
      </c>
      <c r="D45" s="191">
        <v>706</v>
      </c>
      <c r="E45" s="192">
        <v>46036</v>
      </c>
      <c r="F45" s="334">
        <v>32.299999999999997</v>
      </c>
      <c r="G45" s="193">
        <v>36</v>
      </c>
      <c r="H45" s="184" t="s">
        <v>14</v>
      </c>
      <c r="I45" s="194" t="s">
        <v>15</v>
      </c>
      <c r="J45" s="194"/>
      <c r="K45" s="191" t="s">
        <v>16</v>
      </c>
      <c r="L45" s="194"/>
      <c r="M45" s="264"/>
      <c r="N45" s="196"/>
      <c r="O45" s="290"/>
      <c r="P45" s="354"/>
      <c r="Q45" s="13"/>
    </row>
    <row r="46" spans="1:17" ht="19.5" customHeight="1" x14ac:dyDescent="0.3">
      <c r="A46" s="37"/>
      <c r="B46" s="189">
        <f t="shared" si="3"/>
        <v>2026</v>
      </c>
      <c r="C46" s="190">
        <f>C3</f>
        <v>2</v>
      </c>
      <c r="D46" s="191">
        <v>707</v>
      </c>
      <c r="E46" s="192">
        <v>46036</v>
      </c>
      <c r="F46" s="334">
        <v>27.3</v>
      </c>
      <c r="G46" s="193">
        <v>38</v>
      </c>
      <c r="H46" s="184" t="s">
        <v>14</v>
      </c>
      <c r="I46" s="194" t="s">
        <v>15</v>
      </c>
      <c r="J46" s="194"/>
      <c r="K46" s="191" t="s">
        <v>16</v>
      </c>
      <c r="L46" s="194"/>
      <c r="M46" s="264"/>
      <c r="N46" s="196"/>
      <c r="O46" s="290"/>
      <c r="P46" s="354"/>
      <c r="Q46" s="13"/>
    </row>
    <row r="47" spans="1:17" ht="19.5" customHeight="1" x14ac:dyDescent="0.3">
      <c r="A47" s="37"/>
      <c r="B47" s="189">
        <f t="shared" si="3"/>
        <v>2026</v>
      </c>
      <c r="C47" s="190">
        <f>C3</f>
        <v>2</v>
      </c>
      <c r="D47" s="191">
        <v>711</v>
      </c>
      <c r="E47" s="192">
        <v>46036</v>
      </c>
      <c r="F47" s="334">
        <v>27.6</v>
      </c>
      <c r="G47" s="193">
        <v>36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4"/>
      <c r="Q47" s="13"/>
    </row>
    <row r="48" spans="1:17" ht="19.5" customHeight="1" x14ac:dyDescent="0.3">
      <c r="A48" s="37"/>
      <c r="B48" s="198">
        <f t="shared" si="3"/>
        <v>2026</v>
      </c>
      <c r="C48" s="198">
        <f>C3</f>
        <v>2</v>
      </c>
      <c r="D48" s="199">
        <v>716</v>
      </c>
      <c r="E48" s="200">
        <v>46036</v>
      </c>
      <c r="F48" s="335">
        <v>30.5</v>
      </c>
      <c r="G48" s="201">
        <v>40</v>
      </c>
      <c r="H48" s="202" t="s">
        <v>14</v>
      </c>
      <c r="I48" s="201" t="s">
        <v>15</v>
      </c>
      <c r="J48" s="201"/>
      <c r="K48" s="199" t="s">
        <v>16</v>
      </c>
      <c r="L48" s="265"/>
      <c r="M48" s="266"/>
      <c r="N48" s="204"/>
      <c r="O48" s="291"/>
      <c r="P48" s="354"/>
      <c r="Q48" s="13"/>
    </row>
    <row r="49" spans="1:17" ht="19.5" customHeight="1" thickBot="1" x14ac:dyDescent="0.35">
      <c r="A49" s="37"/>
      <c r="B49" s="189">
        <f t="shared" si="3"/>
        <v>2026</v>
      </c>
      <c r="C49" s="190">
        <f>C3</f>
        <v>2</v>
      </c>
      <c r="D49" s="191">
        <v>723</v>
      </c>
      <c r="E49" s="192">
        <v>46036</v>
      </c>
      <c r="F49" s="334">
        <v>25.8</v>
      </c>
      <c r="G49" s="193">
        <v>39</v>
      </c>
      <c r="H49" s="184" t="s">
        <v>14</v>
      </c>
      <c r="I49" s="193" t="s">
        <v>15</v>
      </c>
      <c r="J49" s="194"/>
      <c r="K49" s="184" t="s">
        <v>16</v>
      </c>
      <c r="L49" s="193"/>
      <c r="M49" s="267"/>
      <c r="N49" s="207"/>
      <c r="O49" s="292"/>
      <c r="P49" s="355"/>
      <c r="Q49" s="13"/>
    </row>
    <row r="50" spans="1:17" ht="19.5" customHeight="1" thickBot="1" x14ac:dyDescent="0.35">
      <c r="A50" s="37"/>
      <c r="B50" s="209">
        <v>2026</v>
      </c>
      <c r="C50" s="210">
        <f>C3</f>
        <v>2</v>
      </c>
      <c r="D50" s="211">
        <v>809</v>
      </c>
      <c r="E50" s="212">
        <v>46034</v>
      </c>
      <c r="F50" s="336">
        <v>21.7</v>
      </c>
      <c r="G50" s="213">
        <v>41</v>
      </c>
      <c r="H50" s="211" t="s">
        <v>14</v>
      </c>
      <c r="I50" s="214" t="s">
        <v>26</v>
      </c>
      <c r="J50" s="214">
        <v>2</v>
      </c>
      <c r="K50" s="211" t="s">
        <v>16</v>
      </c>
      <c r="L50" s="214">
        <v>7</v>
      </c>
      <c r="M50" s="268">
        <v>7</v>
      </c>
      <c r="N50" s="216">
        <v>7</v>
      </c>
      <c r="O50" s="293">
        <v>0</v>
      </c>
      <c r="P50" s="345" t="s">
        <v>30</v>
      </c>
      <c r="Q50" s="13"/>
    </row>
    <row r="51" spans="1:17" ht="19.5" customHeight="1" thickBot="1" x14ac:dyDescent="0.35">
      <c r="A51" s="37"/>
      <c r="B51" s="218">
        <f t="shared" si="3"/>
        <v>2026</v>
      </c>
      <c r="C51" s="219">
        <f>C3</f>
        <v>2</v>
      </c>
      <c r="D51" s="220">
        <v>812</v>
      </c>
      <c r="E51" s="221">
        <v>46034</v>
      </c>
      <c r="F51" s="337">
        <v>26.5</v>
      </c>
      <c r="G51" s="222">
        <v>36</v>
      </c>
      <c r="H51" s="220" t="s">
        <v>14</v>
      </c>
      <c r="I51" s="223" t="s">
        <v>15</v>
      </c>
      <c r="J51" s="223"/>
      <c r="K51" s="220" t="s">
        <v>16</v>
      </c>
      <c r="L51" s="223"/>
      <c r="M51" s="269"/>
      <c r="N51" s="225"/>
      <c r="O51" s="294"/>
      <c r="P51" s="345"/>
      <c r="Q51" s="13"/>
    </row>
    <row r="52" spans="1:17" ht="19.5" customHeight="1" thickBot="1" x14ac:dyDescent="0.35">
      <c r="A52" s="37"/>
      <c r="B52" s="227">
        <f t="shared" si="3"/>
        <v>2026</v>
      </c>
      <c r="C52" s="228">
        <f>C3</f>
        <v>2</v>
      </c>
      <c r="D52" s="229">
        <v>815</v>
      </c>
      <c r="E52" s="230">
        <v>46034</v>
      </c>
      <c r="F52" s="338">
        <v>22.6</v>
      </c>
      <c r="G52" s="231">
        <v>35</v>
      </c>
      <c r="H52" s="232" t="s">
        <v>14</v>
      </c>
      <c r="I52" s="233" t="s">
        <v>15</v>
      </c>
      <c r="J52" s="233"/>
      <c r="K52" s="229" t="s">
        <v>16</v>
      </c>
      <c r="L52" s="233"/>
      <c r="M52" s="270"/>
      <c r="N52" s="235"/>
      <c r="O52" s="295"/>
      <c r="P52" s="345"/>
      <c r="Q52" s="13"/>
    </row>
    <row r="53" spans="1:17" ht="19.5" customHeight="1" thickBot="1" x14ac:dyDescent="0.35">
      <c r="A53" s="37"/>
      <c r="B53" s="227">
        <f t="shared" si="3"/>
        <v>2026</v>
      </c>
      <c r="C53" s="228">
        <f>C3</f>
        <v>2</v>
      </c>
      <c r="D53" s="229">
        <v>901</v>
      </c>
      <c r="E53" s="237">
        <v>46034</v>
      </c>
      <c r="F53" s="339">
        <v>14.4</v>
      </c>
      <c r="G53" s="231">
        <v>52</v>
      </c>
      <c r="H53" s="232" t="s">
        <v>14</v>
      </c>
      <c r="I53" s="233" t="s">
        <v>15</v>
      </c>
      <c r="J53" s="233"/>
      <c r="K53" s="229" t="s">
        <v>16</v>
      </c>
      <c r="L53" s="233"/>
      <c r="M53" s="270"/>
      <c r="N53" s="235"/>
      <c r="O53" s="295"/>
      <c r="P53" s="345"/>
      <c r="Q53" s="13"/>
    </row>
    <row r="54" spans="1:17" ht="19.5" customHeight="1" thickBot="1" x14ac:dyDescent="0.35">
      <c r="A54" s="37"/>
      <c r="B54" s="227">
        <f t="shared" si="3"/>
        <v>2026</v>
      </c>
      <c r="C54" s="228">
        <f>C3</f>
        <v>2</v>
      </c>
      <c r="D54" s="229">
        <v>902</v>
      </c>
      <c r="E54" s="237">
        <v>46034</v>
      </c>
      <c r="F54" s="339">
        <v>7.2</v>
      </c>
      <c r="G54" s="231">
        <v>110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5"/>
      <c r="Q54" s="13"/>
    </row>
    <row r="55" spans="1:17" ht="19.5" customHeight="1" thickBot="1" x14ac:dyDescent="0.35">
      <c r="A55" s="37"/>
      <c r="B55" s="227">
        <f t="shared" si="3"/>
        <v>2026</v>
      </c>
      <c r="C55" s="228">
        <f>C3</f>
        <v>2</v>
      </c>
      <c r="D55" s="229">
        <v>906</v>
      </c>
      <c r="E55" s="237">
        <v>46036</v>
      </c>
      <c r="F55" s="339">
        <v>11</v>
      </c>
      <c r="G55" s="231">
        <v>60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5"/>
      <c r="Q55" s="13"/>
    </row>
    <row r="56" spans="1:17" ht="19.5" customHeight="1" thickBot="1" x14ac:dyDescent="0.35">
      <c r="A56" s="37"/>
      <c r="B56" s="227">
        <f t="shared" si="3"/>
        <v>2026</v>
      </c>
      <c r="C56" s="228">
        <f>C3</f>
        <v>2</v>
      </c>
      <c r="D56" s="229">
        <v>910</v>
      </c>
      <c r="E56" s="237">
        <v>46036</v>
      </c>
      <c r="F56" s="339">
        <v>9.1999999999999993</v>
      </c>
      <c r="G56" s="231">
        <v>60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5"/>
      <c r="Q56" s="13"/>
    </row>
    <row r="57" spans="1:17" ht="19.5" customHeight="1" thickBot="1" x14ac:dyDescent="0.35">
      <c r="A57" s="37"/>
      <c r="B57" s="227">
        <f t="shared" si="3"/>
        <v>2026</v>
      </c>
      <c r="C57" s="228">
        <f>C3</f>
        <v>2</v>
      </c>
      <c r="D57" s="229">
        <v>912</v>
      </c>
      <c r="E57" s="237">
        <v>46034</v>
      </c>
      <c r="F57" s="339">
        <v>3.1</v>
      </c>
      <c r="G57" s="231">
        <v>115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5"/>
      <c r="Q57" s="13"/>
    </row>
    <row r="58" spans="1:17" ht="19.5" customHeight="1" thickBot="1" x14ac:dyDescent="0.35">
      <c r="A58" s="37"/>
      <c r="B58" s="227">
        <f t="shared" si="3"/>
        <v>2026</v>
      </c>
      <c r="C58" s="228">
        <f>C3</f>
        <v>2</v>
      </c>
      <c r="D58" s="229">
        <v>914</v>
      </c>
      <c r="E58" s="237">
        <v>46034</v>
      </c>
      <c r="F58" s="339">
        <v>6.4</v>
      </c>
      <c r="G58" s="231">
        <v>111</v>
      </c>
      <c r="H58" s="232" t="s">
        <v>14</v>
      </c>
      <c r="I58" s="233" t="s">
        <v>15</v>
      </c>
      <c r="J58" s="233"/>
      <c r="K58" s="229" t="s">
        <v>16</v>
      </c>
      <c r="L58" s="233"/>
      <c r="M58" s="270"/>
      <c r="N58" s="235"/>
      <c r="O58" s="295"/>
      <c r="P58" s="345"/>
      <c r="Q58" s="13"/>
    </row>
    <row r="59" spans="1:17" ht="19.5" customHeight="1" thickBot="1" x14ac:dyDescent="0.35">
      <c r="A59" s="37"/>
      <c r="B59" s="227">
        <f t="shared" si="3"/>
        <v>2026</v>
      </c>
      <c r="C59" s="228">
        <f>C3</f>
        <v>2</v>
      </c>
      <c r="D59" s="229">
        <v>915</v>
      </c>
      <c r="E59" s="237">
        <v>46034</v>
      </c>
      <c r="F59" s="339">
        <v>5.8</v>
      </c>
      <c r="G59" s="231">
        <v>105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5"/>
      <c r="Q59" s="13"/>
    </row>
    <row r="60" spans="1:17" ht="19.5" customHeight="1" thickBot="1" x14ac:dyDescent="0.35">
      <c r="A60" s="37"/>
      <c r="B60" s="227">
        <f t="shared" si="3"/>
        <v>2026</v>
      </c>
      <c r="C60" s="228">
        <f>C3</f>
        <v>2</v>
      </c>
      <c r="D60" s="229">
        <v>918</v>
      </c>
      <c r="E60" s="237">
        <v>46034</v>
      </c>
      <c r="F60" s="339">
        <v>4.5999999999999996</v>
      </c>
      <c r="G60" s="231">
        <v>145</v>
      </c>
      <c r="H60" s="232" t="s">
        <v>14</v>
      </c>
      <c r="I60" s="233" t="s">
        <v>15</v>
      </c>
      <c r="J60" s="233"/>
      <c r="K60" s="229" t="s">
        <v>16</v>
      </c>
      <c r="L60" s="233"/>
      <c r="M60" s="270"/>
      <c r="N60" s="235"/>
      <c r="O60" s="295"/>
      <c r="P60" s="345"/>
      <c r="Q60" s="13"/>
    </row>
    <row r="61" spans="1:17" ht="19.5" customHeight="1" thickBot="1" x14ac:dyDescent="0.35">
      <c r="A61" s="37"/>
      <c r="B61" s="238">
        <f t="shared" si="3"/>
        <v>2026</v>
      </c>
      <c r="C61" s="239">
        <f>C3</f>
        <v>2</v>
      </c>
      <c r="D61" s="240">
        <v>919</v>
      </c>
      <c r="E61" s="241">
        <v>46036</v>
      </c>
      <c r="F61" s="340">
        <v>14.9</v>
      </c>
      <c r="G61" s="242">
        <v>47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5"/>
      <c r="Q61" s="13"/>
    </row>
    <row r="62" spans="1:17" ht="19.5" customHeight="1" x14ac:dyDescent="0.3">
      <c r="A62" s="37"/>
      <c r="B62" s="4" t="s">
        <v>20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7"/>
      <c r="B63" s="4" t="s">
        <v>21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7"/>
      <c r="B64" s="4" t="s">
        <v>22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7"/>
      <c r="B65" s="7" t="s">
        <v>29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23"/>
    </row>
    <row r="66" spans="1:30" ht="19.5" customHeight="1" x14ac:dyDescent="0.3">
      <c r="A66" s="37"/>
      <c r="B66" s="24"/>
      <c r="C66" s="24"/>
      <c r="D66" s="24"/>
      <c r="E66" s="24"/>
      <c r="F66" s="24"/>
      <c r="G66"/>
      <c r="H66"/>
      <c r="I66"/>
      <c r="J66"/>
      <c r="K66"/>
      <c r="L66"/>
      <c r="M66"/>
      <c r="N66"/>
      <c r="O66"/>
      <c r="P66"/>
      <c r="Q66" s="2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 s="33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 s="34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 s="35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 s="24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 s="24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 s="24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 s="2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</row>
    <row r="78" spans="1:30" ht="14.4" x14ac:dyDescent="0.3">
      <c r="G78"/>
      <c r="H78"/>
      <c r="I78"/>
      <c r="J78"/>
      <c r="K78"/>
      <c r="L78"/>
      <c r="M78"/>
      <c r="N78"/>
      <c r="O78"/>
      <c r="P78"/>
    </row>
    <row r="79" spans="1:30" ht="14.4" x14ac:dyDescent="0.3">
      <c r="G79"/>
      <c r="H79"/>
      <c r="I79"/>
      <c r="J79"/>
      <c r="K79"/>
      <c r="L79"/>
      <c r="M79"/>
      <c r="N79"/>
      <c r="O79"/>
      <c r="P79"/>
    </row>
    <row r="80" spans="1:30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  <row r="83" spans="7:16" ht="14.4" x14ac:dyDescent="0.3">
      <c r="G83"/>
      <c r="H83"/>
      <c r="I83"/>
      <c r="J83"/>
      <c r="K83"/>
      <c r="L83"/>
      <c r="M83"/>
      <c r="N83"/>
      <c r="O83"/>
      <c r="P83"/>
    </row>
    <row r="84" spans="7:16" ht="14.4" x14ac:dyDescent="0.3">
      <c r="G84"/>
      <c r="H84"/>
      <c r="I84"/>
      <c r="J84"/>
      <c r="K84"/>
      <c r="L84"/>
      <c r="M84"/>
      <c r="N84"/>
      <c r="O84"/>
      <c r="P84"/>
    </row>
    <row r="85" spans="7:16" ht="14.4" x14ac:dyDescent="0.3">
      <c r="G85"/>
      <c r="H85"/>
      <c r="I85"/>
      <c r="J85"/>
      <c r="K85"/>
      <c r="L85"/>
      <c r="M85"/>
      <c r="N85"/>
      <c r="O85"/>
      <c r="P85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4"/>
  <sheetViews>
    <sheetView topLeftCell="A53" workbookViewId="0">
      <selection activeCell="G26" sqref="G26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31</v>
      </c>
      <c r="D2" s="38" t="s">
        <v>32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f>'[1]Survey 12'!B3</f>
        <v>2026</v>
      </c>
      <c r="C3" s="43">
        <v>3</v>
      </c>
      <c r="D3" s="43">
        <v>306</v>
      </c>
      <c r="E3" s="44">
        <v>46049</v>
      </c>
      <c r="F3" s="322">
        <v>6</v>
      </c>
      <c r="G3" s="45">
        <v>77</v>
      </c>
      <c r="H3" s="43" t="s">
        <v>14</v>
      </c>
      <c r="I3" s="46" t="s">
        <v>15</v>
      </c>
      <c r="J3" s="45"/>
      <c r="K3" s="43" t="s">
        <v>16</v>
      </c>
      <c r="L3" s="45"/>
      <c r="M3" s="247"/>
      <c r="N3" s="48"/>
      <c r="O3" s="272"/>
      <c r="P3" s="346" t="s">
        <v>33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3</v>
      </c>
      <c r="D4" s="52">
        <v>308</v>
      </c>
      <c r="E4" s="53"/>
      <c r="F4" s="58"/>
      <c r="G4" s="54"/>
      <c r="H4" s="55" t="s">
        <v>17</v>
      </c>
      <c r="I4" s="56"/>
      <c r="J4" s="54"/>
      <c r="K4" s="52"/>
      <c r="L4" s="54"/>
      <c r="M4" s="248"/>
      <c r="N4" s="58"/>
      <c r="O4" s="273"/>
      <c r="P4" s="346"/>
      <c r="Q4" s="13"/>
    </row>
    <row r="5" spans="1:17" ht="19.5" customHeight="1" thickBot="1" x14ac:dyDescent="0.35">
      <c r="A5" s="37"/>
      <c r="B5" s="50">
        <f t="shared" ref="B5:C15" si="0">B4</f>
        <v>2026</v>
      </c>
      <c r="C5" s="51">
        <f t="shared" si="0"/>
        <v>3</v>
      </c>
      <c r="D5" s="50">
        <v>311</v>
      </c>
      <c r="E5" s="60">
        <v>46049</v>
      </c>
      <c r="F5" s="65">
        <v>7.4</v>
      </c>
      <c r="G5" s="61">
        <v>78</v>
      </c>
      <c r="H5" s="62" t="s">
        <v>14</v>
      </c>
      <c r="I5" s="63" t="s">
        <v>15</v>
      </c>
      <c r="J5" s="61"/>
      <c r="K5" s="50" t="s">
        <v>16</v>
      </c>
      <c r="L5" s="61"/>
      <c r="M5" s="249"/>
      <c r="N5" s="65"/>
      <c r="O5" s="274"/>
      <c r="P5" s="346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0"/>
        <v>3</v>
      </c>
      <c r="D6" s="50">
        <v>315</v>
      </c>
      <c r="E6" s="60">
        <v>46049</v>
      </c>
      <c r="F6" s="65">
        <v>9.1999999999999993</v>
      </c>
      <c r="G6" s="61">
        <v>59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6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0"/>
        <v>3</v>
      </c>
      <c r="D7" s="50">
        <v>322</v>
      </c>
      <c r="E7" s="60"/>
      <c r="F7" s="65"/>
      <c r="G7" s="61"/>
      <c r="H7" s="62" t="s">
        <v>17</v>
      </c>
      <c r="I7" s="63"/>
      <c r="J7" s="61"/>
      <c r="K7" s="50"/>
      <c r="L7" s="61"/>
      <c r="M7" s="249"/>
      <c r="N7" s="65"/>
      <c r="O7" s="274"/>
      <c r="P7" s="346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0"/>
        <v>3</v>
      </c>
      <c r="D8" s="50">
        <v>323</v>
      </c>
      <c r="E8" s="60">
        <v>46048</v>
      </c>
      <c r="F8" s="65"/>
      <c r="G8" s="61">
        <v>32</v>
      </c>
      <c r="H8" s="62" t="s">
        <v>14</v>
      </c>
      <c r="I8" s="63" t="s">
        <v>26</v>
      </c>
      <c r="J8" s="61">
        <v>2</v>
      </c>
      <c r="K8" s="50" t="s">
        <v>16</v>
      </c>
      <c r="L8" s="61">
        <v>7</v>
      </c>
      <c r="M8" s="249">
        <v>7</v>
      </c>
      <c r="N8" s="65">
        <v>7</v>
      </c>
      <c r="O8" s="274">
        <v>2</v>
      </c>
      <c r="P8" s="346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0"/>
        <v>3</v>
      </c>
      <c r="D9" s="50">
        <v>327</v>
      </c>
      <c r="E9" s="60">
        <v>46049</v>
      </c>
      <c r="F9" s="65">
        <v>9.9</v>
      </c>
      <c r="G9" s="61">
        <v>66</v>
      </c>
      <c r="H9" s="62" t="s">
        <v>14</v>
      </c>
      <c r="I9" s="63" t="s">
        <v>26</v>
      </c>
      <c r="J9" s="61">
        <v>3</v>
      </c>
      <c r="K9" s="50" t="s">
        <v>16</v>
      </c>
      <c r="L9" s="61">
        <v>7</v>
      </c>
      <c r="M9" s="249">
        <v>77</v>
      </c>
      <c r="N9" s="65">
        <v>30.7</v>
      </c>
      <c r="O9" s="274"/>
      <c r="P9" s="346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0"/>
        <v>3</v>
      </c>
      <c r="D10" s="50">
        <v>328</v>
      </c>
      <c r="E10" s="60"/>
      <c r="F10" s="65"/>
      <c r="G10" s="61"/>
      <c r="H10" s="62" t="s">
        <v>17</v>
      </c>
      <c r="I10" s="63"/>
      <c r="J10" s="61"/>
      <c r="K10" s="50"/>
      <c r="L10" s="61"/>
      <c r="M10" s="249"/>
      <c r="N10" s="65"/>
      <c r="O10" s="274"/>
      <c r="P10" s="346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0"/>
        <v>3</v>
      </c>
      <c r="D11" s="50">
        <v>329</v>
      </c>
      <c r="E11" s="60"/>
      <c r="F11" s="65"/>
      <c r="G11" s="61"/>
      <c r="H11" s="62" t="s">
        <v>17</v>
      </c>
      <c r="I11" s="63"/>
      <c r="J11" s="61"/>
      <c r="K11" s="50"/>
      <c r="L11" s="61"/>
      <c r="M11" s="249"/>
      <c r="N11" s="65"/>
      <c r="O11" s="274"/>
      <c r="P11" s="346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0"/>
        <v>3</v>
      </c>
      <c r="D12" s="50">
        <v>330</v>
      </c>
      <c r="E12" s="60">
        <v>46049</v>
      </c>
      <c r="F12" s="65">
        <v>18.399999999999999</v>
      </c>
      <c r="G12" s="61">
        <v>38</v>
      </c>
      <c r="H12" s="62" t="s">
        <v>14</v>
      </c>
      <c r="I12" s="63" t="s">
        <v>26</v>
      </c>
      <c r="J12" s="61">
        <v>1</v>
      </c>
      <c r="K12" s="50" t="s">
        <v>16</v>
      </c>
      <c r="L12" s="61">
        <v>8</v>
      </c>
      <c r="M12" s="249">
        <v>8</v>
      </c>
      <c r="N12" s="65">
        <v>8</v>
      </c>
      <c r="O12" s="274">
        <v>0</v>
      </c>
      <c r="P12" s="346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0"/>
        <v>3</v>
      </c>
      <c r="D13" s="50">
        <v>335</v>
      </c>
      <c r="E13" s="60"/>
      <c r="F13" s="65"/>
      <c r="G13" s="61"/>
      <c r="H13" s="62" t="s">
        <v>17</v>
      </c>
      <c r="I13" s="63"/>
      <c r="J13" s="61"/>
      <c r="K13" s="50"/>
      <c r="L13" s="61"/>
      <c r="M13" s="249"/>
      <c r="N13" s="65"/>
      <c r="O13" s="274"/>
      <c r="P13" s="346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0"/>
        <v>3</v>
      </c>
      <c r="D14" s="50">
        <v>336</v>
      </c>
      <c r="E14" s="60"/>
      <c r="F14" s="65"/>
      <c r="G14" s="61"/>
      <c r="H14" s="62" t="s">
        <v>17</v>
      </c>
      <c r="I14" s="63"/>
      <c r="J14" s="61"/>
      <c r="K14" s="50"/>
      <c r="L14" s="61"/>
      <c r="M14" s="249"/>
      <c r="N14" s="65"/>
      <c r="O14" s="274"/>
      <c r="P14" s="346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0"/>
        <v>3</v>
      </c>
      <c r="D15" s="67">
        <v>338</v>
      </c>
      <c r="E15" s="68"/>
      <c r="F15" s="72"/>
      <c r="G15" s="69"/>
      <c r="H15" s="62" t="s">
        <v>17</v>
      </c>
      <c r="I15" s="70"/>
      <c r="J15" s="69"/>
      <c r="K15" s="67"/>
      <c r="L15" s="69"/>
      <c r="M15" s="250"/>
      <c r="N15" s="72"/>
      <c r="O15" s="275"/>
      <c r="P15" s="346"/>
      <c r="Q15" s="13"/>
    </row>
    <row r="16" spans="1:17" ht="19.5" customHeight="1" x14ac:dyDescent="0.3">
      <c r="A16" s="37"/>
      <c r="B16" s="74">
        <f>B15</f>
        <v>2026</v>
      </c>
      <c r="C16" s="75">
        <f>C3</f>
        <v>3</v>
      </c>
      <c r="D16" s="74">
        <v>340</v>
      </c>
      <c r="E16" s="76">
        <v>46048</v>
      </c>
      <c r="F16" s="323"/>
      <c r="G16" s="77">
        <v>31</v>
      </c>
      <c r="H16" s="74" t="s">
        <v>14</v>
      </c>
      <c r="I16" s="78" t="s">
        <v>26</v>
      </c>
      <c r="J16" s="78">
        <v>10</v>
      </c>
      <c r="K16" s="74" t="s">
        <v>16</v>
      </c>
      <c r="L16" s="78">
        <v>7</v>
      </c>
      <c r="M16" s="251">
        <v>8</v>
      </c>
      <c r="N16" s="80">
        <v>7.5</v>
      </c>
      <c r="O16" s="276">
        <v>8</v>
      </c>
      <c r="P16" s="347" t="s">
        <v>12</v>
      </c>
      <c r="Q16" s="13"/>
    </row>
    <row r="17" spans="1:17" ht="19.5" customHeight="1" x14ac:dyDescent="0.3">
      <c r="A17" s="37"/>
      <c r="B17" s="82">
        <f>B16</f>
        <v>2026</v>
      </c>
      <c r="C17" s="82">
        <f>C3</f>
        <v>3</v>
      </c>
      <c r="D17" s="83">
        <v>342</v>
      </c>
      <c r="E17" s="84"/>
      <c r="F17" s="324"/>
      <c r="G17" s="85"/>
      <c r="H17" s="83" t="s">
        <v>17</v>
      </c>
      <c r="I17" s="86"/>
      <c r="J17" s="86"/>
      <c r="K17" s="83"/>
      <c r="L17" s="86"/>
      <c r="M17" s="252"/>
      <c r="N17" s="88"/>
      <c r="O17" s="277"/>
      <c r="P17" s="348"/>
      <c r="Q17" s="13"/>
    </row>
    <row r="18" spans="1:17" ht="19.5" customHeight="1" x14ac:dyDescent="0.3">
      <c r="A18" s="37"/>
      <c r="B18" s="82">
        <f t="shared" ref="B18:B19" si="1">B17</f>
        <v>2026</v>
      </c>
      <c r="C18" s="82">
        <f>C3</f>
        <v>3</v>
      </c>
      <c r="D18" s="83">
        <v>343</v>
      </c>
      <c r="E18" s="84">
        <v>46050</v>
      </c>
      <c r="F18" s="324">
        <v>14.5</v>
      </c>
      <c r="G18" s="85">
        <v>35</v>
      </c>
      <c r="H18" s="83" t="s">
        <v>14</v>
      </c>
      <c r="I18" s="86" t="s">
        <v>26</v>
      </c>
      <c r="J18" s="86">
        <v>46</v>
      </c>
      <c r="K18" s="83" t="s">
        <v>16</v>
      </c>
      <c r="L18" s="86">
        <v>7</v>
      </c>
      <c r="M18" s="252">
        <v>11</v>
      </c>
      <c r="N18" s="88">
        <v>8.1521739130434803</v>
      </c>
      <c r="O18" s="277">
        <v>22</v>
      </c>
      <c r="P18" s="348"/>
      <c r="Q18" s="13"/>
    </row>
    <row r="19" spans="1:17" ht="19.5" customHeight="1" x14ac:dyDescent="0.3">
      <c r="A19" s="37"/>
      <c r="B19" s="82">
        <f t="shared" si="1"/>
        <v>2026</v>
      </c>
      <c r="C19" s="82">
        <f>C4</f>
        <v>3</v>
      </c>
      <c r="D19" s="83">
        <v>344</v>
      </c>
      <c r="E19" s="84">
        <v>46050</v>
      </c>
      <c r="F19" s="324">
        <v>14.2</v>
      </c>
      <c r="G19" s="85">
        <v>36</v>
      </c>
      <c r="H19" s="83" t="s">
        <v>14</v>
      </c>
      <c r="I19" s="86" t="s">
        <v>26</v>
      </c>
      <c r="J19" s="86">
        <v>123</v>
      </c>
      <c r="K19" s="83" t="s">
        <v>16</v>
      </c>
      <c r="L19" s="86">
        <v>7</v>
      </c>
      <c r="M19" s="252">
        <v>12</v>
      </c>
      <c r="N19" s="88">
        <v>8.85</v>
      </c>
      <c r="O19" s="277">
        <v>43</v>
      </c>
      <c r="P19" s="348"/>
      <c r="Q19" s="13"/>
    </row>
    <row r="20" spans="1:17" ht="19.5" customHeight="1" x14ac:dyDescent="0.3">
      <c r="A20" s="37"/>
      <c r="B20" s="82">
        <f>B19</f>
        <v>2026</v>
      </c>
      <c r="C20" s="82">
        <f>C5</f>
        <v>3</v>
      </c>
      <c r="D20" s="83">
        <v>345</v>
      </c>
      <c r="E20" s="84"/>
      <c r="F20" s="324"/>
      <c r="G20" s="85"/>
      <c r="H20" s="83" t="s">
        <v>17</v>
      </c>
      <c r="I20" s="86"/>
      <c r="J20" s="86"/>
      <c r="K20" s="83"/>
      <c r="L20" s="86"/>
      <c r="M20" s="252"/>
      <c r="N20" s="88"/>
      <c r="O20" s="277"/>
      <c r="P20" s="348"/>
      <c r="Q20" s="13"/>
    </row>
    <row r="21" spans="1:17" ht="19.5" customHeight="1" x14ac:dyDescent="0.3">
      <c r="A21" s="37"/>
      <c r="B21" s="90">
        <f>B20</f>
        <v>2026</v>
      </c>
      <c r="C21" s="90">
        <f>C6</f>
        <v>3</v>
      </c>
      <c r="D21" s="91">
        <v>346</v>
      </c>
      <c r="E21" s="84">
        <v>46050</v>
      </c>
      <c r="F21" s="324">
        <v>15.9</v>
      </c>
      <c r="G21" s="85">
        <v>29</v>
      </c>
      <c r="H21" s="83" t="s">
        <v>14</v>
      </c>
      <c r="I21" s="86" t="s">
        <v>26</v>
      </c>
      <c r="J21" s="86">
        <v>236</v>
      </c>
      <c r="K21" s="83" t="s">
        <v>16</v>
      </c>
      <c r="L21" s="86">
        <v>7</v>
      </c>
      <c r="M21" s="252">
        <v>12</v>
      </c>
      <c r="N21" s="88"/>
      <c r="O21" s="277">
        <v>14</v>
      </c>
      <c r="P21" s="348"/>
      <c r="Q21" s="13"/>
    </row>
    <row r="22" spans="1:17" ht="19.5" customHeight="1" x14ac:dyDescent="0.3">
      <c r="A22" s="37"/>
      <c r="B22" s="92">
        <f t="shared" ref="B22" si="2">B21</f>
        <v>2026</v>
      </c>
      <c r="C22" s="82">
        <f>C7</f>
        <v>3</v>
      </c>
      <c r="D22" s="83">
        <v>347</v>
      </c>
      <c r="E22" s="93">
        <v>46050</v>
      </c>
      <c r="F22" s="325">
        <v>8.5</v>
      </c>
      <c r="G22" s="85">
        <v>44</v>
      </c>
      <c r="H22" s="83" t="s">
        <v>14</v>
      </c>
      <c r="I22" s="86" t="s">
        <v>26</v>
      </c>
      <c r="J22" s="86">
        <v>249</v>
      </c>
      <c r="K22" s="83" t="s">
        <v>16</v>
      </c>
      <c r="L22" s="86">
        <v>8</v>
      </c>
      <c r="M22" s="252">
        <v>13</v>
      </c>
      <c r="N22" s="88"/>
      <c r="O22" s="277">
        <v>51</v>
      </c>
      <c r="P22" s="348"/>
      <c r="Q22" s="13"/>
    </row>
    <row r="23" spans="1:17" ht="19.5" customHeight="1" x14ac:dyDescent="0.3">
      <c r="A23" s="37"/>
      <c r="B23" s="82">
        <f>B22</f>
        <v>2026</v>
      </c>
      <c r="C23" s="94">
        <f>C5</f>
        <v>3</v>
      </c>
      <c r="D23" s="95">
        <v>348</v>
      </c>
      <c r="E23" s="84">
        <v>46050</v>
      </c>
      <c r="F23" s="324">
        <v>7</v>
      </c>
      <c r="G23" s="85">
        <v>56</v>
      </c>
      <c r="H23" s="83" t="s">
        <v>14</v>
      </c>
      <c r="I23" s="86" t="s">
        <v>26</v>
      </c>
      <c r="J23" s="86">
        <v>118</v>
      </c>
      <c r="K23" s="83" t="s">
        <v>16</v>
      </c>
      <c r="L23" s="86">
        <v>7</v>
      </c>
      <c r="M23" s="252">
        <v>12</v>
      </c>
      <c r="N23" s="96">
        <v>9.9101123595505598</v>
      </c>
      <c r="O23" s="278">
        <v>15</v>
      </c>
      <c r="P23" s="348"/>
      <c r="Q23" s="13"/>
    </row>
    <row r="24" spans="1:17" ht="19.5" customHeight="1" thickBot="1" x14ac:dyDescent="0.35">
      <c r="A24" s="37"/>
      <c r="B24" s="98">
        <f>B23</f>
        <v>2026</v>
      </c>
      <c r="C24" s="90">
        <f>C6</f>
        <v>3</v>
      </c>
      <c r="D24" s="99">
        <v>349</v>
      </c>
      <c r="E24" s="100">
        <v>45685</v>
      </c>
      <c r="F24" s="326">
        <v>4.7</v>
      </c>
      <c r="G24" s="101">
        <v>84</v>
      </c>
      <c r="H24" s="99" t="s">
        <v>14</v>
      </c>
      <c r="I24" s="102" t="s">
        <v>26</v>
      </c>
      <c r="J24" s="102">
        <v>28</v>
      </c>
      <c r="K24" s="99" t="s">
        <v>16</v>
      </c>
      <c r="L24" s="102">
        <v>8</v>
      </c>
      <c r="M24" s="253">
        <v>11</v>
      </c>
      <c r="N24" s="104">
        <v>9.8000000000000007</v>
      </c>
      <c r="O24" s="279">
        <v>0</v>
      </c>
      <c r="P24" s="349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3</v>
      </c>
      <c r="D25" s="106">
        <v>401</v>
      </c>
      <c r="E25" s="108">
        <v>46048</v>
      </c>
      <c r="F25" s="327"/>
      <c r="G25" s="109">
        <v>38</v>
      </c>
      <c r="H25" s="106" t="s">
        <v>14</v>
      </c>
      <c r="I25" s="110" t="s">
        <v>26</v>
      </c>
      <c r="J25" s="110">
        <v>30</v>
      </c>
      <c r="K25" s="106" t="s">
        <v>16</v>
      </c>
      <c r="L25" s="110">
        <v>6</v>
      </c>
      <c r="M25" s="254">
        <v>12</v>
      </c>
      <c r="N25" s="112">
        <v>8.06666666666667</v>
      </c>
      <c r="O25" s="280">
        <v>21</v>
      </c>
      <c r="P25" s="350" t="s">
        <v>34</v>
      </c>
      <c r="Q25" s="13"/>
    </row>
    <row r="26" spans="1:17" ht="19.5" customHeight="1" thickBot="1" x14ac:dyDescent="0.35">
      <c r="A26" s="37"/>
      <c r="B26" s="106">
        <f t="shared" ref="B26:B61" si="3">B25</f>
        <v>2026</v>
      </c>
      <c r="C26" s="114">
        <f>C3</f>
        <v>3</v>
      </c>
      <c r="D26" s="115">
        <v>404</v>
      </c>
      <c r="E26" s="116">
        <v>46048</v>
      </c>
      <c r="F26" s="327">
        <v>29.6</v>
      </c>
      <c r="G26" s="109">
        <v>26</v>
      </c>
      <c r="H26" s="115" t="s">
        <v>14</v>
      </c>
      <c r="I26" s="117" t="s">
        <v>26</v>
      </c>
      <c r="J26" s="117">
        <v>35</v>
      </c>
      <c r="K26" s="115" t="s">
        <v>16</v>
      </c>
      <c r="L26" s="117">
        <v>6</v>
      </c>
      <c r="M26" s="255">
        <v>10</v>
      </c>
      <c r="N26" s="119">
        <v>8</v>
      </c>
      <c r="O26" s="281">
        <v>22</v>
      </c>
      <c r="P26" s="350"/>
      <c r="Q26" s="13"/>
    </row>
    <row r="27" spans="1:17" ht="19.5" customHeight="1" thickBot="1" x14ac:dyDescent="0.35">
      <c r="A27" s="37"/>
      <c r="B27" s="121">
        <f t="shared" si="3"/>
        <v>2026</v>
      </c>
      <c r="C27" s="121">
        <f>C3</f>
        <v>3</v>
      </c>
      <c r="D27" s="122">
        <v>405</v>
      </c>
      <c r="E27" s="123">
        <v>46048</v>
      </c>
      <c r="F27" s="126">
        <v>32.5</v>
      </c>
      <c r="G27" s="124">
        <v>20</v>
      </c>
      <c r="H27" s="122" t="s">
        <v>14</v>
      </c>
      <c r="I27" s="124" t="s">
        <v>26</v>
      </c>
      <c r="J27" s="124">
        <v>13</v>
      </c>
      <c r="K27" s="122" t="s">
        <v>16</v>
      </c>
      <c r="L27" s="124">
        <v>7</v>
      </c>
      <c r="M27" s="256">
        <v>9</v>
      </c>
      <c r="N27" s="126">
        <v>7.9230769230769198</v>
      </c>
      <c r="O27" s="282">
        <v>12</v>
      </c>
      <c r="P27" s="350"/>
      <c r="Q27" s="13"/>
    </row>
    <row r="28" spans="1:17" ht="19.5" customHeight="1" thickBot="1" x14ac:dyDescent="0.35">
      <c r="A28" s="37"/>
      <c r="B28" s="128">
        <f t="shared" si="3"/>
        <v>2026</v>
      </c>
      <c r="C28" s="128">
        <f>C3</f>
        <v>3</v>
      </c>
      <c r="D28" s="129">
        <v>411</v>
      </c>
      <c r="E28" s="130">
        <v>46048</v>
      </c>
      <c r="F28" s="133"/>
      <c r="G28" s="131">
        <v>42</v>
      </c>
      <c r="H28" s="129" t="s">
        <v>14</v>
      </c>
      <c r="I28" s="131" t="s">
        <v>26</v>
      </c>
      <c r="J28" s="131">
        <v>46</v>
      </c>
      <c r="K28" s="129" t="s">
        <v>16</v>
      </c>
      <c r="L28" s="131">
        <v>7</v>
      </c>
      <c r="M28" s="257">
        <v>9</v>
      </c>
      <c r="N28" s="133">
        <v>7.9130434782608701</v>
      </c>
      <c r="O28" s="283">
        <v>33</v>
      </c>
      <c r="P28" s="351" t="s">
        <v>35</v>
      </c>
      <c r="Q28" s="13"/>
    </row>
    <row r="29" spans="1:17" ht="19.5" customHeight="1" thickBot="1" x14ac:dyDescent="0.35">
      <c r="A29" s="37"/>
      <c r="B29" s="135">
        <f t="shared" si="3"/>
        <v>2026</v>
      </c>
      <c r="C29" s="135">
        <f>C3</f>
        <v>3</v>
      </c>
      <c r="D29" s="136">
        <v>418</v>
      </c>
      <c r="E29" s="137">
        <v>46048</v>
      </c>
      <c r="F29" s="140"/>
      <c r="G29" s="138">
        <v>33</v>
      </c>
      <c r="H29" s="136" t="s">
        <v>14</v>
      </c>
      <c r="I29" s="138" t="s">
        <v>26</v>
      </c>
      <c r="J29" s="138">
        <v>24</v>
      </c>
      <c r="K29" s="136" t="s">
        <v>16</v>
      </c>
      <c r="L29" s="138">
        <v>6</v>
      </c>
      <c r="M29" s="258">
        <v>9</v>
      </c>
      <c r="N29" s="140">
        <v>7.0833333333333304</v>
      </c>
      <c r="O29" s="284">
        <v>17</v>
      </c>
      <c r="P29" s="351"/>
      <c r="Q29" s="13"/>
    </row>
    <row r="30" spans="1:17" ht="19.5" customHeight="1" thickBot="1" x14ac:dyDescent="0.35">
      <c r="A30" s="37"/>
      <c r="B30" s="135">
        <f t="shared" si="3"/>
        <v>2026</v>
      </c>
      <c r="C30" s="135">
        <f>C3</f>
        <v>3</v>
      </c>
      <c r="D30" s="136">
        <v>501</v>
      </c>
      <c r="E30" s="142">
        <v>46048</v>
      </c>
      <c r="F30" s="328">
        <v>33</v>
      </c>
      <c r="G30" s="143">
        <v>38</v>
      </c>
      <c r="H30" s="136" t="s">
        <v>14</v>
      </c>
      <c r="I30" s="138" t="s">
        <v>26</v>
      </c>
      <c r="J30" s="138">
        <v>58</v>
      </c>
      <c r="K30" s="136" t="s">
        <v>16</v>
      </c>
      <c r="L30" s="138">
        <v>6</v>
      </c>
      <c r="M30" s="258">
        <v>9</v>
      </c>
      <c r="N30" s="140">
        <v>7.1071428571428603</v>
      </c>
      <c r="O30" s="284">
        <v>49</v>
      </c>
      <c r="P30" s="351"/>
      <c r="Q30" s="13"/>
    </row>
    <row r="31" spans="1:17" ht="19.5" customHeight="1" thickBot="1" x14ac:dyDescent="0.35">
      <c r="A31" s="37"/>
      <c r="B31" s="135">
        <f t="shared" si="3"/>
        <v>2026</v>
      </c>
      <c r="C31" s="135">
        <f>C3</f>
        <v>3</v>
      </c>
      <c r="D31" s="136">
        <v>504</v>
      </c>
      <c r="E31" s="137">
        <v>46048</v>
      </c>
      <c r="F31" s="140"/>
      <c r="G31" s="138">
        <v>40</v>
      </c>
      <c r="H31" s="136" t="s">
        <v>14</v>
      </c>
      <c r="I31" s="138" t="s">
        <v>26</v>
      </c>
      <c r="J31" s="138">
        <v>31</v>
      </c>
      <c r="K31" s="136" t="s">
        <v>16</v>
      </c>
      <c r="L31" s="138">
        <v>6</v>
      </c>
      <c r="M31" s="258">
        <v>9</v>
      </c>
      <c r="N31" s="140">
        <v>7.5483870967741904</v>
      </c>
      <c r="O31" s="284">
        <v>26</v>
      </c>
      <c r="P31" s="351"/>
      <c r="Q31" s="13"/>
    </row>
    <row r="32" spans="1:17" ht="19.5" customHeight="1" thickBot="1" x14ac:dyDescent="0.35">
      <c r="A32" s="37"/>
      <c r="B32" s="135">
        <f t="shared" si="3"/>
        <v>2026</v>
      </c>
      <c r="C32" s="135">
        <f>C3</f>
        <v>3</v>
      </c>
      <c r="D32" s="136">
        <v>519</v>
      </c>
      <c r="E32" s="137">
        <v>46048</v>
      </c>
      <c r="F32" s="140">
        <v>25.3</v>
      </c>
      <c r="G32" s="138">
        <v>29</v>
      </c>
      <c r="H32" s="136" t="s">
        <v>14</v>
      </c>
      <c r="I32" s="138" t="s">
        <v>26</v>
      </c>
      <c r="J32" s="138">
        <v>32</v>
      </c>
      <c r="K32" s="136" t="s">
        <v>16</v>
      </c>
      <c r="L32" s="138">
        <v>6</v>
      </c>
      <c r="M32" s="258">
        <v>7</v>
      </c>
      <c r="N32" s="140">
        <v>6.7</v>
      </c>
      <c r="O32" s="284">
        <v>13</v>
      </c>
      <c r="P32" s="351"/>
      <c r="Q32" s="13"/>
    </row>
    <row r="33" spans="1:17" ht="19.5" customHeight="1" thickBot="1" x14ac:dyDescent="0.35">
      <c r="A33" s="37"/>
      <c r="B33" s="135">
        <f t="shared" si="3"/>
        <v>2026</v>
      </c>
      <c r="C33" s="135">
        <f>C3</f>
        <v>3</v>
      </c>
      <c r="D33" s="136">
        <v>602</v>
      </c>
      <c r="E33" s="142">
        <v>46050</v>
      </c>
      <c r="F33" s="328">
        <v>17.600000000000001</v>
      </c>
      <c r="G33" s="143">
        <v>38</v>
      </c>
      <c r="H33" s="136" t="s">
        <v>14</v>
      </c>
      <c r="I33" s="138" t="s">
        <v>26</v>
      </c>
      <c r="J33" s="138">
        <v>50</v>
      </c>
      <c r="K33" s="136" t="s">
        <v>16</v>
      </c>
      <c r="L33" s="138">
        <v>7</v>
      </c>
      <c r="M33" s="258">
        <v>10</v>
      </c>
      <c r="N33" s="140">
        <v>7.98</v>
      </c>
      <c r="O33" s="284">
        <v>39</v>
      </c>
      <c r="P33" s="351"/>
      <c r="Q33" s="13"/>
    </row>
    <row r="34" spans="1:17" ht="19.5" customHeight="1" thickBot="1" x14ac:dyDescent="0.35">
      <c r="A34" s="37"/>
      <c r="B34" s="135">
        <f t="shared" si="3"/>
        <v>2026</v>
      </c>
      <c r="C34" s="135">
        <f>C3</f>
        <v>3</v>
      </c>
      <c r="D34" s="136">
        <v>606</v>
      </c>
      <c r="E34" s="137">
        <v>46050</v>
      </c>
      <c r="F34" s="140">
        <v>26.7</v>
      </c>
      <c r="G34" s="138">
        <v>42</v>
      </c>
      <c r="H34" s="136" t="s">
        <v>14</v>
      </c>
      <c r="I34" s="138" t="s">
        <v>26</v>
      </c>
      <c r="J34" s="138">
        <v>124</v>
      </c>
      <c r="K34" s="136" t="s">
        <v>16</v>
      </c>
      <c r="L34" s="138">
        <v>6</v>
      </c>
      <c r="M34" s="258">
        <v>11</v>
      </c>
      <c r="N34" s="140">
        <v>7.6770833333333304</v>
      </c>
      <c r="O34" s="284">
        <v>76</v>
      </c>
      <c r="P34" s="351"/>
      <c r="Q34" s="13"/>
    </row>
    <row r="35" spans="1:17" ht="19.5" customHeight="1" thickBot="1" x14ac:dyDescent="0.35">
      <c r="A35" s="37"/>
      <c r="B35" s="135">
        <f t="shared" si="3"/>
        <v>2026</v>
      </c>
      <c r="C35" s="135">
        <f>C3</f>
        <v>3</v>
      </c>
      <c r="D35" s="136">
        <v>609</v>
      </c>
      <c r="E35" s="137">
        <v>46050</v>
      </c>
      <c r="F35" s="140">
        <v>22.5</v>
      </c>
      <c r="G35" s="138">
        <v>38</v>
      </c>
      <c r="H35" s="136" t="s">
        <v>14</v>
      </c>
      <c r="I35" s="138" t="s">
        <v>26</v>
      </c>
      <c r="J35" s="138">
        <v>5</v>
      </c>
      <c r="K35" s="136" t="s">
        <v>16</v>
      </c>
      <c r="L35" s="138">
        <v>6</v>
      </c>
      <c r="M35" s="258">
        <v>6</v>
      </c>
      <c r="N35" s="140">
        <v>6</v>
      </c>
      <c r="O35" s="284">
        <v>2</v>
      </c>
      <c r="P35" s="351"/>
      <c r="Q35" s="13"/>
    </row>
    <row r="36" spans="1:17" ht="19.5" customHeight="1" thickBot="1" x14ac:dyDescent="0.35">
      <c r="A36" s="37"/>
      <c r="B36" s="144">
        <f t="shared" si="3"/>
        <v>2026</v>
      </c>
      <c r="C36" s="145">
        <f>C3</f>
        <v>3</v>
      </c>
      <c r="D36" s="146">
        <v>610</v>
      </c>
      <c r="E36" s="147">
        <v>46050</v>
      </c>
      <c r="F36" s="329">
        <v>12.5</v>
      </c>
      <c r="G36" s="148">
        <v>72</v>
      </c>
      <c r="H36" s="146" t="s">
        <v>14</v>
      </c>
      <c r="I36" s="149" t="s">
        <v>26</v>
      </c>
      <c r="J36" s="149">
        <v>11</v>
      </c>
      <c r="K36" s="146" t="s">
        <v>16</v>
      </c>
      <c r="L36" s="149">
        <v>6</v>
      </c>
      <c r="M36" s="259">
        <v>7</v>
      </c>
      <c r="N36" s="151">
        <v>6.875</v>
      </c>
      <c r="O36" s="285">
        <v>3</v>
      </c>
      <c r="P36" s="351"/>
      <c r="Q36" s="13"/>
    </row>
    <row r="37" spans="1:17" ht="19.5" customHeight="1" thickBot="1" x14ac:dyDescent="0.35">
      <c r="A37" s="37"/>
      <c r="B37" s="153">
        <f t="shared" si="3"/>
        <v>2026</v>
      </c>
      <c r="C37" s="154">
        <f>C3</f>
        <v>3</v>
      </c>
      <c r="D37" s="155">
        <v>508</v>
      </c>
      <c r="E37" s="156">
        <v>46048</v>
      </c>
      <c r="F37" s="330">
        <v>21.5</v>
      </c>
      <c r="G37" s="157">
        <v>35</v>
      </c>
      <c r="H37" s="158" t="s">
        <v>14</v>
      </c>
      <c r="I37" s="158" t="s">
        <v>26</v>
      </c>
      <c r="J37" s="158">
        <v>38</v>
      </c>
      <c r="K37" s="155" t="s">
        <v>16</v>
      </c>
      <c r="L37" s="158">
        <v>6</v>
      </c>
      <c r="M37" s="260">
        <v>8</v>
      </c>
      <c r="N37" s="160">
        <v>6.6</v>
      </c>
      <c r="O37" s="286">
        <v>33</v>
      </c>
      <c r="P37" s="352" t="s">
        <v>13</v>
      </c>
      <c r="Q37" s="13"/>
    </row>
    <row r="38" spans="1:17" ht="19.5" customHeight="1" thickBot="1" x14ac:dyDescent="0.35">
      <c r="A38" s="37"/>
      <c r="B38" s="162">
        <f t="shared" si="3"/>
        <v>2026</v>
      </c>
      <c r="C38" s="154">
        <f>C3</f>
        <v>3</v>
      </c>
      <c r="D38" s="163">
        <v>513</v>
      </c>
      <c r="E38" s="164">
        <v>46048</v>
      </c>
      <c r="F38" s="331">
        <v>16.8</v>
      </c>
      <c r="G38" s="165">
        <v>53</v>
      </c>
      <c r="H38" s="166" t="s">
        <v>14</v>
      </c>
      <c r="I38" s="166" t="s">
        <v>26</v>
      </c>
      <c r="J38" s="166">
        <v>48</v>
      </c>
      <c r="K38" s="163" t="s">
        <v>16</v>
      </c>
      <c r="L38" s="166">
        <v>5</v>
      </c>
      <c r="M38" s="261">
        <v>81</v>
      </c>
      <c r="N38" s="168">
        <v>8.4166666666666696</v>
      </c>
      <c r="O38" s="287">
        <v>26</v>
      </c>
      <c r="P38" s="352"/>
      <c r="Q38" s="13"/>
    </row>
    <row r="39" spans="1:17" ht="19.5" customHeight="1" thickBot="1" x14ac:dyDescent="0.35">
      <c r="A39" s="37"/>
      <c r="B39" s="162">
        <f t="shared" si="3"/>
        <v>2026</v>
      </c>
      <c r="C39" s="154">
        <f>C3</f>
        <v>3</v>
      </c>
      <c r="D39" s="163">
        <v>520</v>
      </c>
      <c r="E39" s="164">
        <v>46048</v>
      </c>
      <c r="F39" s="331">
        <v>13.7</v>
      </c>
      <c r="G39" s="165">
        <v>52</v>
      </c>
      <c r="H39" s="166" t="s">
        <v>14</v>
      </c>
      <c r="I39" s="166" t="s">
        <v>26</v>
      </c>
      <c r="J39" s="166">
        <v>13</v>
      </c>
      <c r="K39" s="163" t="s">
        <v>16</v>
      </c>
      <c r="L39" s="166">
        <v>6</v>
      </c>
      <c r="M39" s="261">
        <v>7</v>
      </c>
      <c r="N39" s="168">
        <v>6.7</v>
      </c>
      <c r="O39" s="287">
        <v>6</v>
      </c>
      <c r="P39" s="352"/>
      <c r="Q39" s="13"/>
    </row>
    <row r="40" spans="1:17" ht="19.5" customHeight="1" thickBot="1" x14ac:dyDescent="0.35">
      <c r="A40" s="37"/>
      <c r="B40" s="162">
        <f t="shared" si="3"/>
        <v>2026</v>
      </c>
      <c r="C40" s="154">
        <f>C3</f>
        <v>3</v>
      </c>
      <c r="D40" s="163">
        <v>801</v>
      </c>
      <c r="E40" s="164">
        <v>46048</v>
      </c>
      <c r="F40" s="331"/>
      <c r="G40" s="165">
        <v>58</v>
      </c>
      <c r="H40" s="166" t="s">
        <v>14</v>
      </c>
      <c r="I40" s="166" t="s">
        <v>26</v>
      </c>
      <c r="J40" s="166">
        <v>16</v>
      </c>
      <c r="K40" s="163" t="s">
        <v>16</v>
      </c>
      <c r="L40" s="166">
        <v>6</v>
      </c>
      <c r="M40" s="261">
        <v>7</v>
      </c>
      <c r="N40" s="168">
        <v>6.4285714285714297</v>
      </c>
      <c r="O40" s="287">
        <v>4</v>
      </c>
      <c r="P40" s="352"/>
      <c r="Q40" s="13"/>
    </row>
    <row r="41" spans="1:17" ht="19.5" customHeight="1" thickBot="1" x14ac:dyDescent="0.35">
      <c r="A41" s="37"/>
      <c r="B41" s="170">
        <f t="shared" si="3"/>
        <v>2026</v>
      </c>
      <c r="C41" s="171">
        <f>C3</f>
        <v>3</v>
      </c>
      <c r="D41" s="172">
        <v>804</v>
      </c>
      <c r="E41" s="173">
        <v>46048</v>
      </c>
      <c r="F41" s="332">
        <v>13.3</v>
      </c>
      <c r="G41" s="174">
        <v>64</v>
      </c>
      <c r="H41" s="175" t="s">
        <v>14</v>
      </c>
      <c r="I41" s="175" t="s">
        <v>26</v>
      </c>
      <c r="J41" s="175">
        <v>9</v>
      </c>
      <c r="K41" s="172" t="s">
        <v>16</v>
      </c>
      <c r="L41" s="175">
        <v>6</v>
      </c>
      <c r="M41" s="262">
        <v>7</v>
      </c>
      <c r="N41" s="177">
        <v>6.2222222222222197</v>
      </c>
      <c r="O41" s="288">
        <v>9</v>
      </c>
      <c r="P41" s="352"/>
      <c r="Q41" s="13"/>
    </row>
    <row r="42" spans="1:17" ht="19.5" customHeight="1" x14ac:dyDescent="0.3">
      <c r="A42" s="37"/>
      <c r="B42" s="179">
        <f t="shared" si="3"/>
        <v>2026</v>
      </c>
      <c r="C42" s="180">
        <f>C3</f>
        <v>3</v>
      </c>
      <c r="D42" s="181">
        <v>703</v>
      </c>
      <c r="E42" s="182">
        <v>46050</v>
      </c>
      <c r="F42" s="333">
        <v>11.8</v>
      </c>
      <c r="G42" s="183">
        <v>82</v>
      </c>
      <c r="H42" s="184" t="s">
        <v>14</v>
      </c>
      <c r="I42" s="185" t="s">
        <v>26</v>
      </c>
      <c r="J42" s="185">
        <v>2</v>
      </c>
      <c r="K42" s="181" t="s">
        <v>16</v>
      </c>
      <c r="L42" s="185">
        <v>7</v>
      </c>
      <c r="M42" s="263">
        <v>8</v>
      </c>
      <c r="N42" s="187">
        <v>7.5</v>
      </c>
      <c r="O42" s="289">
        <v>0</v>
      </c>
      <c r="P42" s="353" t="s">
        <v>36</v>
      </c>
      <c r="Q42" s="13"/>
    </row>
    <row r="43" spans="1:17" ht="19.5" customHeight="1" x14ac:dyDescent="0.3">
      <c r="A43" s="37"/>
      <c r="B43" s="189">
        <f t="shared" si="3"/>
        <v>2026</v>
      </c>
      <c r="C43" s="190">
        <f>C3</f>
        <v>3</v>
      </c>
      <c r="D43" s="191">
        <v>704</v>
      </c>
      <c r="E43" s="192">
        <v>46050</v>
      </c>
      <c r="F43" s="334">
        <v>10.6</v>
      </c>
      <c r="G43" s="193">
        <v>58</v>
      </c>
      <c r="H43" s="184" t="s">
        <v>14</v>
      </c>
      <c r="I43" s="194" t="s">
        <v>26</v>
      </c>
      <c r="J43" s="194">
        <v>8</v>
      </c>
      <c r="K43" s="191" t="s">
        <v>16</v>
      </c>
      <c r="L43" s="194">
        <v>6</v>
      </c>
      <c r="M43" s="264">
        <v>7</v>
      </c>
      <c r="N43" s="196">
        <v>6.625</v>
      </c>
      <c r="O43" s="290">
        <v>8</v>
      </c>
      <c r="P43" s="354"/>
      <c r="Q43" s="13"/>
    </row>
    <row r="44" spans="1:17" ht="19.5" customHeight="1" x14ac:dyDescent="0.3">
      <c r="A44" s="37"/>
      <c r="B44" s="189">
        <f t="shared" si="3"/>
        <v>2026</v>
      </c>
      <c r="C44" s="190">
        <f>C3</f>
        <v>3</v>
      </c>
      <c r="D44" s="191">
        <v>705</v>
      </c>
      <c r="E44" s="192">
        <v>46049</v>
      </c>
      <c r="F44" s="334">
        <v>9.3000000000000007</v>
      </c>
      <c r="G44" s="193">
        <v>96</v>
      </c>
      <c r="H44" s="184" t="s">
        <v>14</v>
      </c>
      <c r="I44" s="194" t="s">
        <v>26</v>
      </c>
      <c r="J44" s="194">
        <v>5</v>
      </c>
      <c r="K44" s="191" t="s">
        <v>16</v>
      </c>
      <c r="L44" s="194">
        <v>6</v>
      </c>
      <c r="M44" s="264">
        <v>7</v>
      </c>
      <c r="N44" s="196">
        <v>6.6</v>
      </c>
      <c r="O44" s="290">
        <v>4</v>
      </c>
      <c r="P44" s="354"/>
      <c r="Q44" s="13"/>
    </row>
    <row r="45" spans="1:17" ht="19.5" customHeight="1" x14ac:dyDescent="0.3">
      <c r="A45" s="37"/>
      <c r="B45" s="189">
        <f t="shared" si="3"/>
        <v>2026</v>
      </c>
      <c r="C45" s="190">
        <f>C3</f>
        <v>3</v>
      </c>
      <c r="D45" s="191">
        <v>706</v>
      </c>
      <c r="E45" s="192">
        <v>46049</v>
      </c>
      <c r="F45" s="334">
        <v>15.3</v>
      </c>
      <c r="G45" s="193">
        <v>55</v>
      </c>
      <c r="H45" s="184" t="s">
        <v>14</v>
      </c>
      <c r="I45" s="194" t="s">
        <v>26</v>
      </c>
      <c r="J45" s="194">
        <v>2</v>
      </c>
      <c r="K45" s="191" t="s">
        <v>16</v>
      </c>
      <c r="L45" s="194">
        <v>5</v>
      </c>
      <c r="M45" s="264">
        <v>5</v>
      </c>
      <c r="N45" s="196">
        <v>5</v>
      </c>
      <c r="O45" s="290">
        <v>1</v>
      </c>
      <c r="P45" s="354"/>
      <c r="Q45" s="13"/>
    </row>
    <row r="46" spans="1:17" ht="19.5" customHeight="1" x14ac:dyDescent="0.3">
      <c r="A46" s="37"/>
      <c r="B46" s="189">
        <f t="shared" si="3"/>
        <v>2026</v>
      </c>
      <c r="C46" s="190">
        <f>C3</f>
        <v>3</v>
      </c>
      <c r="D46" s="191">
        <v>707</v>
      </c>
      <c r="E46" s="192">
        <v>46049</v>
      </c>
      <c r="F46" s="334">
        <v>12.8</v>
      </c>
      <c r="G46" s="193">
        <v>62</v>
      </c>
      <c r="H46" s="184" t="s">
        <v>14</v>
      </c>
      <c r="I46" s="194" t="s">
        <v>26</v>
      </c>
      <c r="J46" s="194">
        <v>3</v>
      </c>
      <c r="K46" s="191" t="s">
        <v>16</v>
      </c>
      <c r="L46" s="194">
        <v>6</v>
      </c>
      <c r="M46" s="264">
        <v>6</v>
      </c>
      <c r="N46" s="196">
        <v>6</v>
      </c>
      <c r="O46" s="290">
        <v>3</v>
      </c>
      <c r="P46" s="354"/>
      <c r="Q46" s="13"/>
    </row>
    <row r="47" spans="1:17" ht="19.5" customHeight="1" x14ac:dyDescent="0.3">
      <c r="A47" s="37"/>
      <c r="B47" s="189">
        <f t="shared" si="3"/>
        <v>2026</v>
      </c>
      <c r="C47" s="190">
        <f>C3</f>
        <v>3</v>
      </c>
      <c r="D47" s="191">
        <v>711</v>
      </c>
      <c r="E47" s="192">
        <v>46049</v>
      </c>
      <c r="F47" s="334">
        <v>15</v>
      </c>
      <c r="G47" s="193">
        <v>68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4"/>
      <c r="Q47" s="13"/>
    </row>
    <row r="48" spans="1:17" ht="19.5" customHeight="1" x14ac:dyDescent="0.3">
      <c r="A48" s="37"/>
      <c r="B48" s="198">
        <f t="shared" si="3"/>
        <v>2026</v>
      </c>
      <c r="C48" s="198">
        <f>C3</f>
        <v>3</v>
      </c>
      <c r="D48" s="199">
        <v>716</v>
      </c>
      <c r="E48" s="200">
        <v>46049</v>
      </c>
      <c r="F48" s="335">
        <v>10.1</v>
      </c>
      <c r="G48" s="201">
        <v>79</v>
      </c>
      <c r="H48" s="202" t="s">
        <v>14</v>
      </c>
      <c r="I48" s="201" t="s">
        <v>15</v>
      </c>
      <c r="J48" s="201"/>
      <c r="K48" s="199" t="s">
        <v>16</v>
      </c>
      <c r="L48" s="265"/>
      <c r="M48" s="266"/>
      <c r="N48" s="204"/>
      <c r="O48" s="291"/>
      <c r="P48" s="354"/>
      <c r="Q48" s="13"/>
    </row>
    <row r="49" spans="1:17" ht="19.5" customHeight="1" thickBot="1" x14ac:dyDescent="0.35">
      <c r="A49" s="37"/>
      <c r="B49" s="189">
        <f t="shared" si="3"/>
        <v>2026</v>
      </c>
      <c r="C49" s="190">
        <f>C3</f>
        <v>3</v>
      </c>
      <c r="D49" s="191">
        <v>723</v>
      </c>
      <c r="E49" s="192">
        <v>46049</v>
      </c>
      <c r="F49" s="334">
        <v>10.1</v>
      </c>
      <c r="G49" s="193">
        <v>82</v>
      </c>
      <c r="H49" s="184" t="s">
        <v>14</v>
      </c>
      <c r="I49" s="193" t="s">
        <v>26</v>
      </c>
      <c r="J49" s="194">
        <v>2</v>
      </c>
      <c r="K49" s="184" t="s">
        <v>16</v>
      </c>
      <c r="L49" s="193">
        <v>6</v>
      </c>
      <c r="M49" s="267">
        <v>6</v>
      </c>
      <c r="N49" s="207">
        <v>6</v>
      </c>
      <c r="O49" s="292">
        <v>2</v>
      </c>
      <c r="P49" s="355"/>
      <c r="Q49" s="13"/>
    </row>
    <row r="50" spans="1:17" ht="19.5" customHeight="1" thickBot="1" x14ac:dyDescent="0.35">
      <c r="A50" s="37"/>
      <c r="B50" s="209">
        <v>2026</v>
      </c>
      <c r="C50" s="210">
        <f>C3</f>
        <v>3</v>
      </c>
      <c r="D50" s="211">
        <v>809</v>
      </c>
      <c r="E50" s="212">
        <v>46048</v>
      </c>
      <c r="F50" s="336">
        <v>11</v>
      </c>
      <c r="G50" s="213">
        <v>84</v>
      </c>
      <c r="H50" s="211" t="s">
        <v>14</v>
      </c>
      <c r="I50" s="214" t="s">
        <v>26</v>
      </c>
      <c r="J50" s="214">
        <v>5</v>
      </c>
      <c r="K50" s="211" t="s">
        <v>16</v>
      </c>
      <c r="L50" s="214">
        <v>6</v>
      </c>
      <c r="M50" s="268">
        <v>7</v>
      </c>
      <c r="N50" s="216">
        <v>6.8</v>
      </c>
      <c r="O50" s="293">
        <v>0</v>
      </c>
      <c r="P50" s="345" t="s">
        <v>30</v>
      </c>
      <c r="Q50" s="13"/>
    </row>
    <row r="51" spans="1:17" ht="19.5" customHeight="1" thickBot="1" x14ac:dyDescent="0.35">
      <c r="A51" s="37"/>
      <c r="B51" s="218">
        <f t="shared" si="3"/>
        <v>2026</v>
      </c>
      <c r="C51" s="219">
        <f>C3</f>
        <v>3</v>
      </c>
      <c r="D51" s="220">
        <v>812</v>
      </c>
      <c r="E51" s="221">
        <v>46048</v>
      </c>
      <c r="F51" s="337">
        <v>8.5</v>
      </c>
      <c r="G51" s="222">
        <v>83</v>
      </c>
      <c r="H51" s="220" t="s">
        <v>14</v>
      </c>
      <c r="I51" s="223" t="s">
        <v>26</v>
      </c>
      <c r="J51" s="223">
        <v>4</v>
      </c>
      <c r="K51" s="220" t="s">
        <v>16</v>
      </c>
      <c r="L51" s="223">
        <v>6</v>
      </c>
      <c r="M51" s="269">
        <v>7</v>
      </c>
      <c r="N51" s="225">
        <v>6.5</v>
      </c>
      <c r="O51" s="294">
        <v>2</v>
      </c>
      <c r="P51" s="345"/>
      <c r="Q51" s="13"/>
    </row>
    <row r="52" spans="1:17" ht="19.5" customHeight="1" thickBot="1" x14ac:dyDescent="0.35">
      <c r="A52" s="37"/>
      <c r="B52" s="227">
        <f t="shared" si="3"/>
        <v>2026</v>
      </c>
      <c r="C52" s="228">
        <f>C3</f>
        <v>3</v>
      </c>
      <c r="D52" s="229">
        <v>815</v>
      </c>
      <c r="E52" s="230">
        <v>46048</v>
      </c>
      <c r="F52" s="338">
        <v>8.6</v>
      </c>
      <c r="G52" s="231">
        <v>81</v>
      </c>
      <c r="H52" s="232" t="s">
        <v>14</v>
      </c>
      <c r="I52" s="233" t="s">
        <v>26</v>
      </c>
      <c r="J52" s="233">
        <v>2</v>
      </c>
      <c r="K52" s="229" t="s">
        <v>16</v>
      </c>
      <c r="L52" s="233">
        <v>6</v>
      </c>
      <c r="M52" s="270">
        <v>6</v>
      </c>
      <c r="N52" s="235">
        <v>6</v>
      </c>
      <c r="O52" s="295">
        <v>2</v>
      </c>
      <c r="P52" s="345"/>
      <c r="Q52" s="13"/>
    </row>
    <row r="53" spans="1:17" ht="19.5" customHeight="1" thickBot="1" x14ac:dyDescent="0.35">
      <c r="A53" s="37"/>
      <c r="B53" s="227">
        <f t="shared" si="3"/>
        <v>2026</v>
      </c>
      <c r="C53" s="228">
        <f>C3</f>
        <v>3</v>
      </c>
      <c r="D53" s="229">
        <v>901</v>
      </c>
      <c r="E53" s="237">
        <v>46048</v>
      </c>
      <c r="F53" s="339">
        <v>8.5</v>
      </c>
      <c r="G53" s="231">
        <v>81</v>
      </c>
      <c r="H53" s="232" t="s">
        <v>14</v>
      </c>
      <c r="I53" s="233" t="s">
        <v>26</v>
      </c>
      <c r="J53" s="233">
        <v>5</v>
      </c>
      <c r="K53" s="229" t="s">
        <v>16</v>
      </c>
      <c r="L53" s="233">
        <v>6</v>
      </c>
      <c r="M53" s="270">
        <v>7</v>
      </c>
      <c r="N53" s="235">
        <v>6.5</v>
      </c>
      <c r="O53" s="295">
        <v>2</v>
      </c>
      <c r="P53" s="345"/>
      <c r="Q53" s="13"/>
    </row>
    <row r="54" spans="1:17" ht="19.5" customHeight="1" thickBot="1" x14ac:dyDescent="0.35">
      <c r="A54" s="37"/>
      <c r="B54" s="227">
        <f t="shared" si="3"/>
        <v>2026</v>
      </c>
      <c r="C54" s="228">
        <f>C3</f>
        <v>3</v>
      </c>
      <c r="D54" s="229">
        <v>902</v>
      </c>
      <c r="E54" s="237">
        <v>46048</v>
      </c>
      <c r="F54" s="339">
        <v>6</v>
      </c>
      <c r="G54" s="231">
        <v>123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5"/>
      <c r="Q54" s="13"/>
    </row>
    <row r="55" spans="1:17" ht="19.5" customHeight="1" thickBot="1" x14ac:dyDescent="0.35">
      <c r="A55" s="37"/>
      <c r="B55" s="227">
        <f t="shared" si="3"/>
        <v>2026</v>
      </c>
      <c r="C55" s="228">
        <f>C3</f>
        <v>3</v>
      </c>
      <c r="D55" s="229">
        <v>906</v>
      </c>
      <c r="E55" s="237">
        <v>46049</v>
      </c>
      <c r="F55" s="339">
        <v>6</v>
      </c>
      <c r="G55" s="231">
        <v>134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5"/>
      <c r="Q55" s="13"/>
    </row>
    <row r="56" spans="1:17" ht="19.5" customHeight="1" thickBot="1" x14ac:dyDescent="0.35">
      <c r="A56" s="37"/>
      <c r="B56" s="227">
        <f t="shared" si="3"/>
        <v>2026</v>
      </c>
      <c r="C56" s="228">
        <f>C3</f>
        <v>3</v>
      </c>
      <c r="D56" s="229">
        <v>910</v>
      </c>
      <c r="E56" s="237">
        <v>46048</v>
      </c>
      <c r="F56" s="339">
        <v>8</v>
      </c>
      <c r="G56" s="231">
        <v>104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5"/>
      <c r="Q56" s="13"/>
    </row>
    <row r="57" spans="1:17" ht="19.5" customHeight="1" thickBot="1" x14ac:dyDescent="0.35">
      <c r="A57" s="37"/>
      <c r="B57" s="227">
        <f t="shared" si="3"/>
        <v>2026</v>
      </c>
      <c r="C57" s="228">
        <f>C3</f>
        <v>3</v>
      </c>
      <c r="D57" s="229">
        <v>912</v>
      </c>
      <c r="E57" s="237">
        <v>46048</v>
      </c>
      <c r="F57" s="339">
        <v>2.4</v>
      </c>
      <c r="G57" s="231">
        <v>200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5"/>
      <c r="Q57" s="13"/>
    </row>
    <row r="58" spans="1:17" ht="19.5" customHeight="1" thickBot="1" x14ac:dyDescent="0.35">
      <c r="A58" s="37"/>
      <c r="B58" s="227">
        <f t="shared" si="3"/>
        <v>2026</v>
      </c>
      <c r="C58" s="228">
        <f>C3</f>
        <v>3</v>
      </c>
      <c r="D58" s="229">
        <v>914</v>
      </c>
      <c r="E58" s="237">
        <v>46048</v>
      </c>
      <c r="F58" s="339">
        <v>4.5999999999999996</v>
      </c>
      <c r="G58" s="231">
        <v>159</v>
      </c>
      <c r="H58" s="232" t="s">
        <v>14</v>
      </c>
      <c r="I58" s="233" t="s">
        <v>15</v>
      </c>
      <c r="J58" s="233"/>
      <c r="K58" s="229" t="s">
        <v>16</v>
      </c>
      <c r="L58" s="233"/>
      <c r="M58" s="270"/>
      <c r="N58" s="235"/>
      <c r="O58" s="295"/>
      <c r="P58" s="345"/>
      <c r="Q58" s="13"/>
    </row>
    <row r="59" spans="1:17" ht="19.5" customHeight="1" thickBot="1" x14ac:dyDescent="0.35">
      <c r="A59" s="37"/>
      <c r="B59" s="227">
        <f t="shared" si="3"/>
        <v>2026</v>
      </c>
      <c r="C59" s="228">
        <f>C3</f>
        <v>3</v>
      </c>
      <c r="D59" s="229">
        <v>915</v>
      </c>
      <c r="E59" s="237">
        <v>46048</v>
      </c>
      <c r="F59" s="339">
        <v>5.3</v>
      </c>
      <c r="G59" s="231">
        <v>155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5"/>
      <c r="Q59" s="13"/>
    </row>
    <row r="60" spans="1:17" ht="19.5" customHeight="1" thickBot="1" x14ac:dyDescent="0.35">
      <c r="A60" s="37"/>
      <c r="B60" s="227">
        <f t="shared" si="3"/>
        <v>2026</v>
      </c>
      <c r="C60" s="228">
        <f>C3</f>
        <v>3</v>
      </c>
      <c r="D60" s="229">
        <v>918</v>
      </c>
      <c r="E60" s="237">
        <v>46048</v>
      </c>
      <c r="F60" s="339">
        <v>4.7</v>
      </c>
      <c r="G60" s="231">
        <v>147</v>
      </c>
      <c r="H60" s="232" t="s">
        <v>14</v>
      </c>
      <c r="I60" s="233" t="s">
        <v>15</v>
      </c>
      <c r="J60" s="233"/>
      <c r="K60" s="229" t="s">
        <v>16</v>
      </c>
      <c r="L60" s="233"/>
      <c r="M60" s="270"/>
      <c r="N60" s="235"/>
      <c r="O60" s="295"/>
      <c r="P60" s="345"/>
      <c r="Q60" s="13"/>
    </row>
    <row r="61" spans="1:17" ht="19.5" customHeight="1" thickBot="1" x14ac:dyDescent="0.35">
      <c r="A61" s="37"/>
      <c r="B61" s="238">
        <f t="shared" si="3"/>
        <v>2026</v>
      </c>
      <c r="C61" s="239">
        <f>C3</f>
        <v>3</v>
      </c>
      <c r="D61" s="240">
        <v>919</v>
      </c>
      <c r="E61" s="241">
        <v>46049</v>
      </c>
      <c r="F61" s="340">
        <v>3.7</v>
      </c>
      <c r="G61" s="242">
        <v>194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5"/>
      <c r="Q61" s="13"/>
    </row>
    <row r="62" spans="1:17" ht="19.5" customHeight="1" x14ac:dyDescent="0.3">
      <c r="A62" s="37"/>
      <c r="B62" s="4" t="s">
        <v>20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7"/>
      <c r="B63" s="4" t="s">
        <v>21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7"/>
      <c r="B64" s="4" t="s">
        <v>22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7"/>
      <c r="B65" s="7" t="s">
        <v>38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23"/>
    </row>
    <row r="66" spans="1:30" ht="19.5" customHeight="1" x14ac:dyDescent="0.3">
      <c r="A66" s="37"/>
      <c r="B66" s="24"/>
      <c r="C66" s="24"/>
      <c r="D66" s="24"/>
      <c r="E66" s="24"/>
      <c r="F66" s="24"/>
      <c r="G66"/>
      <c r="H66"/>
      <c r="I66"/>
      <c r="J66"/>
      <c r="K66"/>
      <c r="L66"/>
      <c r="M66"/>
      <c r="N66"/>
      <c r="O66"/>
      <c r="P66"/>
      <c r="Q66" s="26"/>
      <c r="S66" s="29"/>
      <c r="T66" s="29"/>
      <c r="U66" s="30"/>
      <c r="V66" s="29"/>
      <c r="W66" s="29"/>
      <c r="X66" s="28"/>
      <c r="Y66" s="31"/>
      <c r="Z66" s="28"/>
      <c r="AA66" s="31"/>
      <c r="AB66" s="31"/>
      <c r="AC66" s="31"/>
      <c r="AD66" s="29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 s="33"/>
    </row>
    <row r="68" spans="1:30" ht="19.5" customHeight="1" x14ac:dyDescent="0.3">
      <c r="F68" s="27"/>
      <c r="G68"/>
      <c r="H68"/>
      <c r="I68"/>
      <c r="J68"/>
      <c r="K68"/>
      <c r="L68"/>
      <c r="M68"/>
      <c r="N68"/>
      <c r="O68"/>
      <c r="P68"/>
      <c r="Q68" s="34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 s="35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 s="24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 s="24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 s="24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 s="2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</row>
    <row r="78" spans="1:30" ht="14.4" x14ac:dyDescent="0.3">
      <c r="G78"/>
      <c r="H78"/>
      <c r="I78"/>
      <c r="J78"/>
      <c r="K78"/>
      <c r="L78"/>
      <c r="M78"/>
      <c r="N78"/>
      <c r="O78"/>
      <c r="P78"/>
    </row>
    <row r="79" spans="1:30" ht="14.4" x14ac:dyDescent="0.3">
      <c r="G79"/>
      <c r="H79"/>
      <c r="I79"/>
      <c r="J79"/>
      <c r="K79"/>
      <c r="L79"/>
      <c r="M79"/>
      <c r="N79"/>
      <c r="O79"/>
      <c r="P79"/>
    </row>
    <row r="80" spans="1:30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  <row r="83" spans="7:16" ht="14.4" x14ac:dyDescent="0.3">
      <c r="G83"/>
      <c r="H83"/>
      <c r="I83"/>
      <c r="J83"/>
      <c r="K83"/>
      <c r="L83"/>
      <c r="M83"/>
      <c r="N83"/>
      <c r="O83"/>
      <c r="P83"/>
    </row>
    <row r="84" spans="7:16" ht="14.4" x14ac:dyDescent="0.3">
      <c r="G84"/>
      <c r="H84"/>
      <c r="I84"/>
      <c r="J84"/>
      <c r="K84"/>
      <c r="L84"/>
      <c r="M84"/>
      <c r="N84"/>
      <c r="O84"/>
      <c r="P84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2"/>
  <sheetViews>
    <sheetView topLeftCell="A49" workbookViewId="0">
      <selection activeCell="H69" sqref="H69"/>
    </sheetView>
  </sheetViews>
  <sheetFormatPr defaultColWidth="9.109375" defaultRowHeight="13.2" x14ac:dyDescent="0.25"/>
  <cols>
    <col min="1" max="1" width="3.5546875" style="24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32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7" customWidth="1"/>
    <col min="15" max="15" width="11" style="27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5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6"/>
      <c r="B2" s="38" t="s">
        <v>0</v>
      </c>
      <c r="C2" s="38" t="s">
        <v>31</v>
      </c>
      <c r="D2" s="38" t="s">
        <v>32</v>
      </c>
      <c r="E2" s="38" t="s">
        <v>9</v>
      </c>
      <c r="F2" s="39" t="s">
        <v>11</v>
      </c>
      <c r="G2" s="38" t="s">
        <v>8</v>
      </c>
      <c r="H2" s="38" t="s">
        <v>1</v>
      </c>
      <c r="I2" s="38" t="s">
        <v>2</v>
      </c>
      <c r="J2" s="38" t="s">
        <v>3</v>
      </c>
      <c r="K2" s="38" t="s">
        <v>7</v>
      </c>
      <c r="L2" s="38" t="s">
        <v>4</v>
      </c>
      <c r="M2" s="40" t="s">
        <v>5</v>
      </c>
      <c r="N2" s="41" t="s">
        <v>6</v>
      </c>
      <c r="O2" s="42" t="s">
        <v>10</v>
      </c>
      <c r="P2" s="15"/>
      <c r="Q2" s="16"/>
    </row>
    <row r="3" spans="1:17" ht="19.5" customHeight="1" thickBot="1" x14ac:dyDescent="0.35">
      <c r="A3" s="37"/>
      <c r="B3" s="43">
        <f>'[1]Survey 12'!B3</f>
        <v>2026</v>
      </c>
      <c r="C3" s="43">
        <v>4</v>
      </c>
      <c r="D3" s="43">
        <v>306</v>
      </c>
      <c r="E3" s="44">
        <v>46063</v>
      </c>
      <c r="F3" s="322">
        <v>4.3</v>
      </c>
      <c r="G3" s="45">
        <v>177</v>
      </c>
      <c r="H3" s="43" t="s">
        <v>14</v>
      </c>
      <c r="I3" s="46" t="s">
        <v>15</v>
      </c>
      <c r="J3" s="45"/>
      <c r="K3" s="43" t="s">
        <v>16</v>
      </c>
      <c r="L3" s="45"/>
      <c r="M3" s="247"/>
      <c r="N3" s="48"/>
      <c r="O3" s="272"/>
      <c r="P3" s="346" t="s">
        <v>33</v>
      </c>
      <c r="Q3" s="13"/>
    </row>
    <row r="4" spans="1:17" ht="19.5" customHeight="1" thickBot="1" x14ac:dyDescent="0.35">
      <c r="A4" s="37"/>
      <c r="B4" s="50">
        <f>B3</f>
        <v>2026</v>
      </c>
      <c r="C4" s="51">
        <f>C3</f>
        <v>4</v>
      </c>
      <c r="D4" s="52">
        <v>308</v>
      </c>
      <c r="E4" s="53"/>
      <c r="F4" s="58"/>
      <c r="G4" s="54"/>
      <c r="H4" s="55"/>
      <c r="I4" s="56"/>
      <c r="J4" s="54"/>
      <c r="K4" s="52"/>
      <c r="L4" s="54"/>
      <c r="M4" s="248"/>
      <c r="N4" s="58"/>
      <c r="O4" s="273"/>
      <c r="P4" s="346"/>
      <c r="Q4" s="13"/>
    </row>
    <row r="5" spans="1:17" ht="19.5" customHeight="1" thickBot="1" x14ac:dyDescent="0.35">
      <c r="A5" s="37"/>
      <c r="B5" s="50">
        <f t="shared" ref="B5:C15" si="0">B4</f>
        <v>2026</v>
      </c>
      <c r="C5" s="51">
        <f t="shared" si="0"/>
        <v>4</v>
      </c>
      <c r="D5" s="50">
        <v>311</v>
      </c>
      <c r="E5" s="60"/>
      <c r="F5" s="65"/>
      <c r="G5" s="61"/>
      <c r="H5" s="62"/>
      <c r="I5" s="63"/>
      <c r="J5" s="61"/>
      <c r="K5" s="50"/>
      <c r="L5" s="61"/>
      <c r="M5" s="249"/>
      <c r="N5" s="65"/>
      <c r="O5" s="274"/>
      <c r="P5" s="346"/>
      <c r="Q5" s="13"/>
    </row>
    <row r="6" spans="1:17" ht="19.5" customHeight="1" thickBot="1" x14ac:dyDescent="0.35">
      <c r="A6" s="37"/>
      <c r="B6" s="50">
        <f t="shared" si="0"/>
        <v>2026</v>
      </c>
      <c r="C6" s="51">
        <f t="shared" si="0"/>
        <v>4</v>
      </c>
      <c r="D6" s="50">
        <v>315</v>
      </c>
      <c r="E6" s="60">
        <v>46063</v>
      </c>
      <c r="F6" s="65">
        <v>4.9000000000000004</v>
      </c>
      <c r="G6" s="61">
        <v>94</v>
      </c>
      <c r="H6" s="62" t="s">
        <v>14</v>
      </c>
      <c r="I6" s="63" t="s">
        <v>15</v>
      </c>
      <c r="J6" s="61"/>
      <c r="K6" s="50" t="s">
        <v>16</v>
      </c>
      <c r="L6" s="61"/>
      <c r="M6" s="249"/>
      <c r="N6" s="65"/>
      <c r="O6" s="274"/>
      <c r="P6" s="346"/>
      <c r="Q6" s="13"/>
    </row>
    <row r="7" spans="1:17" ht="19.5" customHeight="1" thickBot="1" x14ac:dyDescent="0.35">
      <c r="A7" s="37"/>
      <c r="B7" s="50">
        <f t="shared" si="0"/>
        <v>2026</v>
      </c>
      <c r="C7" s="51">
        <f t="shared" si="0"/>
        <v>4</v>
      </c>
      <c r="D7" s="50">
        <v>322</v>
      </c>
      <c r="E7" s="60"/>
      <c r="F7" s="65"/>
      <c r="G7" s="61"/>
      <c r="H7" s="62"/>
      <c r="I7" s="63"/>
      <c r="J7" s="61"/>
      <c r="K7" s="50"/>
      <c r="L7" s="61"/>
      <c r="M7" s="249"/>
      <c r="N7" s="65"/>
      <c r="O7" s="274"/>
      <c r="P7" s="346"/>
      <c r="Q7" s="13"/>
    </row>
    <row r="8" spans="1:17" ht="19.5" customHeight="1" thickBot="1" x14ac:dyDescent="0.35">
      <c r="A8" s="37"/>
      <c r="B8" s="50">
        <f t="shared" si="0"/>
        <v>2026</v>
      </c>
      <c r="C8" s="51">
        <f t="shared" si="0"/>
        <v>4</v>
      </c>
      <c r="D8" s="50">
        <v>323</v>
      </c>
      <c r="E8" s="60"/>
      <c r="F8" s="65"/>
      <c r="G8" s="61"/>
      <c r="H8" s="62"/>
      <c r="I8" s="63"/>
      <c r="J8" s="61"/>
      <c r="K8" s="50"/>
      <c r="L8" s="61"/>
      <c r="M8" s="249"/>
      <c r="N8" s="65"/>
      <c r="O8" s="274"/>
      <c r="P8" s="346"/>
      <c r="Q8" s="13"/>
    </row>
    <row r="9" spans="1:17" ht="19.5" customHeight="1" thickBot="1" x14ac:dyDescent="0.35">
      <c r="A9" s="37"/>
      <c r="B9" s="50">
        <f t="shared" si="0"/>
        <v>2026</v>
      </c>
      <c r="C9" s="51">
        <f t="shared" si="0"/>
        <v>4</v>
      </c>
      <c r="D9" s="50">
        <v>327</v>
      </c>
      <c r="E9" s="60"/>
      <c r="F9" s="65"/>
      <c r="G9" s="61"/>
      <c r="H9" s="62"/>
      <c r="I9" s="63"/>
      <c r="J9" s="61"/>
      <c r="K9" s="50"/>
      <c r="L9" s="61"/>
      <c r="M9" s="249"/>
      <c r="N9" s="65"/>
      <c r="O9" s="274"/>
      <c r="P9" s="346"/>
      <c r="Q9" s="13"/>
    </row>
    <row r="10" spans="1:17" ht="19.5" customHeight="1" thickBot="1" x14ac:dyDescent="0.35">
      <c r="A10" s="37"/>
      <c r="B10" s="50">
        <f t="shared" si="0"/>
        <v>2026</v>
      </c>
      <c r="C10" s="51">
        <f t="shared" si="0"/>
        <v>4</v>
      </c>
      <c r="D10" s="50">
        <v>328</v>
      </c>
      <c r="E10" s="60"/>
      <c r="F10" s="65"/>
      <c r="G10" s="61"/>
      <c r="H10" s="62"/>
      <c r="I10" s="63"/>
      <c r="J10" s="61"/>
      <c r="K10" s="50"/>
      <c r="L10" s="61"/>
      <c r="M10" s="249"/>
      <c r="N10" s="65"/>
      <c r="O10" s="274"/>
      <c r="P10" s="346"/>
      <c r="Q10" s="13"/>
    </row>
    <row r="11" spans="1:17" ht="19.5" customHeight="1" thickBot="1" x14ac:dyDescent="0.35">
      <c r="A11" s="37"/>
      <c r="B11" s="50">
        <f t="shared" si="0"/>
        <v>2026</v>
      </c>
      <c r="C11" s="51">
        <f t="shared" si="0"/>
        <v>4</v>
      </c>
      <c r="D11" s="50">
        <v>329</v>
      </c>
      <c r="E11" s="60"/>
      <c r="F11" s="65"/>
      <c r="G11" s="61"/>
      <c r="H11" s="62"/>
      <c r="I11" s="63"/>
      <c r="J11" s="61"/>
      <c r="K11" s="50"/>
      <c r="L11" s="61"/>
      <c r="M11" s="249"/>
      <c r="N11" s="65"/>
      <c r="O11" s="274"/>
      <c r="P11" s="346"/>
      <c r="Q11" s="13"/>
    </row>
    <row r="12" spans="1:17" ht="19.5" customHeight="1" thickBot="1" x14ac:dyDescent="0.35">
      <c r="A12" s="37"/>
      <c r="B12" s="50">
        <f t="shared" si="0"/>
        <v>2026</v>
      </c>
      <c r="C12" s="51">
        <f t="shared" si="0"/>
        <v>4</v>
      </c>
      <c r="D12" s="50">
        <v>330</v>
      </c>
      <c r="E12" s="60"/>
      <c r="F12" s="65"/>
      <c r="G12" s="61"/>
      <c r="H12" s="62"/>
      <c r="I12" s="63"/>
      <c r="J12" s="61"/>
      <c r="K12" s="50"/>
      <c r="L12" s="61"/>
      <c r="M12" s="249"/>
      <c r="N12" s="65"/>
      <c r="O12" s="274"/>
      <c r="P12" s="346"/>
      <c r="Q12" s="13"/>
    </row>
    <row r="13" spans="1:17" ht="19.5" customHeight="1" thickBot="1" x14ac:dyDescent="0.35">
      <c r="A13" s="37"/>
      <c r="B13" s="50">
        <f t="shared" si="0"/>
        <v>2026</v>
      </c>
      <c r="C13" s="51">
        <f t="shared" si="0"/>
        <v>4</v>
      </c>
      <c r="D13" s="50">
        <v>335</v>
      </c>
      <c r="E13" s="60"/>
      <c r="F13" s="65"/>
      <c r="G13" s="61"/>
      <c r="H13" s="62"/>
      <c r="I13" s="63"/>
      <c r="J13" s="61"/>
      <c r="K13" s="50"/>
      <c r="L13" s="61"/>
      <c r="M13" s="249"/>
      <c r="N13" s="65"/>
      <c r="O13" s="274"/>
      <c r="P13" s="346"/>
      <c r="Q13" s="13"/>
    </row>
    <row r="14" spans="1:17" ht="19.5" customHeight="1" thickBot="1" x14ac:dyDescent="0.35">
      <c r="A14" s="37"/>
      <c r="B14" s="50">
        <f t="shared" si="0"/>
        <v>2026</v>
      </c>
      <c r="C14" s="51">
        <f t="shared" si="0"/>
        <v>4</v>
      </c>
      <c r="D14" s="50">
        <v>336</v>
      </c>
      <c r="E14" s="60"/>
      <c r="F14" s="65"/>
      <c r="G14" s="61"/>
      <c r="H14" s="62"/>
      <c r="I14" s="63"/>
      <c r="J14" s="61"/>
      <c r="K14" s="50"/>
      <c r="L14" s="61"/>
      <c r="M14" s="249"/>
      <c r="N14" s="65"/>
      <c r="O14" s="274"/>
      <c r="P14" s="346"/>
      <c r="Q14" s="13"/>
    </row>
    <row r="15" spans="1:17" ht="19.5" customHeight="1" thickBot="1" x14ac:dyDescent="0.35">
      <c r="A15" s="37"/>
      <c r="B15" s="67">
        <f>B14</f>
        <v>2026</v>
      </c>
      <c r="C15" s="51">
        <f t="shared" si="0"/>
        <v>4</v>
      </c>
      <c r="D15" s="67">
        <v>338</v>
      </c>
      <c r="E15" s="68">
        <v>46064</v>
      </c>
      <c r="F15" s="72">
        <v>5.9</v>
      </c>
      <c r="G15" s="69">
        <v>84</v>
      </c>
      <c r="H15" s="62" t="s">
        <v>14</v>
      </c>
      <c r="I15" s="70" t="s">
        <v>15</v>
      </c>
      <c r="J15" s="69"/>
      <c r="K15" s="67" t="s">
        <v>16</v>
      </c>
      <c r="L15" s="69"/>
      <c r="M15" s="250"/>
      <c r="N15" s="72"/>
      <c r="O15" s="275"/>
      <c r="P15" s="346"/>
      <c r="Q15" s="13"/>
    </row>
    <row r="16" spans="1:17" ht="19.5" customHeight="1" x14ac:dyDescent="0.3">
      <c r="A16" s="37"/>
      <c r="B16" s="74">
        <f>B15</f>
        <v>2026</v>
      </c>
      <c r="C16" s="75">
        <f>C3</f>
        <v>4</v>
      </c>
      <c r="D16" s="74">
        <v>340</v>
      </c>
      <c r="E16" s="76"/>
      <c r="F16" s="323"/>
      <c r="G16" s="77"/>
      <c r="H16" s="74"/>
      <c r="I16" s="78"/>
      <c r="J16" s="78"/>
      <c r="K16" s="74"/>
      <c r="L16" s="78"/>
      <c r="M16" s="251"/>
      <c r="N16" s="80"/>
      <c r="O16" s="276"/>
      <c r="P16" s="347" t="s">
        <v>12</v>
      </c>
      <c r="Q16" s="13"/>
    </row>
    <row r="17" spans="1:17" ht="19.5" customHeight="1" x14ac:dyDescent="0.3">
      <c r="A17" s="37"/>
      <c r="B17" s="82">
        <f>B16</f>
        <v>2026</v>
      </c>
      <c r="C17" s="82">
        <f>C3</f>
        <v>4</v>
      </c>
      <c r="D17" s="83">
        <v>342</v>
      </c>
      <c r="E17" s="84"/>
      <c r="F17" s="324"/>
      <c r="G17" s="85"/>
      <c r="H17" s="83"/>
      <c r="I17" s="86"/>
      <c r="J17" s="86"/>
      <c r="K17" s="83"/>
      <c r="L17" s="86"/>
      <c r="M17" s="252"/>
      <c r="N17" s="88"/>
      <c r="O17" s="277"/>
      <c r="P17" s="348"/>
      <c r="Q17" s="13"/>
    </row>
    <row r="18" spans="1:17" ht="19.5" customHeight="1" x14ac:dyDescent="0.3">
      <c r="A18" s="37"/>
      <c r="B18" s="82">
        <f t="shared" ref="B18:B19" si="1">B17</f>
        <v>2026</v>
      </c>
      <c r="C18" s="82">
        <f>C3</f>
        <v>4</v>
      </c>
      <c r="D18" s="83">
        <v>343</v>
      </c>
      <c r="E18" s="84">
        <v>46065</v>
      </c>
      <c r="F18" s="324">
        <v>9.8000000000000007</v>
      </c>
      <c r="G18" s="85">
        <v>70</v>
      </c>
      <c r="H18" s="83" t="s">
        <v>14</v>
      </c>
      <c r="I18" s="86" t="s">
        <v>26</v>
      </c>
      <c r="J18" s="86">
        <v>14</v>
      </c>
      <c r="K18" s="83" t="s">
        <v>16</v>
      </c>
      <c r="L18" s="86">
        <v>6</v>
      </c>
      <c r="M18" s="252">
        <v>9</v>
      </c>
      <c r="N18" s="88">
        <v>6.9</v>
      </c>
      <c r="O18" s="277">
        <v>1</v>
      </c>
      <c r="P18" s="348"/>
      <c r="Q18" s="13"/>
    </row>
    <row r="19" spans="1:17" ht="19.5" customHeight="1" x14ac:dyDescent="0.3">
      <c r="A19" s="37"/>
      <c r="B19" s="82">
        <f t="shared" si="1"/>
        <v>2026</v>
      </c>
      <c r="C19" s="82">
        <f>C4</f>
        <v>4</v>
      </c>
      <c r="D19" s="83">
        <v>344</v>
      </c>
      <c r="E19" s="84"/>
      <c r="F19" s="324"/>
      <c r="G19" s="85"/>
      <c r="H19" s="83"/>
      <c r="I19" s="86"/>
      <c r="J19" s="86"/>
      <c r="K19" s="83"/>
      <c r="L19" s="86"/>
      <c r="M19" s="252"/>
      <c r="N19" s="88"/>
      <c r="O19" s="277"/>
      <c r="P19" s="348"/>
      <c r="Q19" s="13"/>
    </row>
    <row r="20" spans="1:17" ht="19.5" customHeight="1" x14ac:dyDescent="0.3">
      <c r="A20" s="37"/>
      <c r="B20" s="82">
        <f>B19</f>
        <v>2026</v>
      </c>
      <c r="C20" s="82">
        <f>C5</f>
        <v>4</v>
      </c>
      <c r="D20" s="83">
        <v>345</v>
      </c>
      <c r="E20" s="84"/>
      <c r="F20" s="324"/>
      <c r="G20" s="85"/>
      <c r="H20" s="83"/>
      <c r="I20" s="86"/>
      <c r="J20" s="86"/>
      <c r="K20" s="83"/>
      <c r="L20" s="86"/>
      <c r="M20" s="252"/>
      <c r="N20" s="88"/>
      <c r="O20" s="277"/>
      <c r="P20" s="348"/>
      <c r="Q20" s="13"/>
    </row>
    <row r="21" spans="1:17" ht="19.5" customHeight="1" x14ac:dyDescent="0.3">
      <c r="A21" s="37"/>
      <c r="B21" s="90">
        <f>B20</f>
        <v>2026</v>
      </c>
      <c r="C21" s="90">
        <f>C6</f>
        <v>4</v>
      </c>
      <c r="D21" s="91">
        <v>346</v>
      </c>
      <c r="E21" s="84">
        <v>46065</v>
      </c>
      <c r="F21" s="324">
        <v>9.1999999999999993</v>
      </c>
      <c r="G21" s="85">
        <v>74</v>
      </c>
      <c r="H21" s="83" t="s">
        <v>14</v>
      </c>
      <c r="I21" s="86" t="s">
        <v>26</v>
      </c>
      <c r="J21" s="86">
        <v>129</v>
      </c>
      <c r="K21" s="83" t="s">
        <v>16</v>
      </c>
      <c r="L21" s="86">
        <v>8</v>
      </c>
      <c r="M21" s="252">
        <v>15</v>
      </c>
      <c r="N21" s="88"/>
      <c r="O21" s="277">
        <v>41</v>
      </c>
      <c r="P21" s="348"/>
      <c r="Q21" s="13"/>
    </row>
    <row r="22" spans="1:17" ht="19.5" customHeight="1" x14ac:dyDescent="0.3">
      <c r="A22" s="37"/>
      <c r="B22" s="92">
        <f t="shared" ref="B22" si="2">B21</f>
        <v>2026</v>
      </c>
      <c r="C22" s="82">
        <f>C7</f>
        <v>4</v>
      </c>
      <c r="D22" s="83">
        <v>347</v>
      </c>
      <c r="E22" s="93">
        <v>46065</v>
      </c>
      <c r="F22" s="325">
        <v>7.2</v>
      </c>
      <c r="G22" s="85">
        <v>66</v>
      </c>
      <c r="H22" s="83" t="s">
        <v>14</v>
      </c>
      <c r="I22" s="86" t="s">
        <v>26</v>
      </c>
      <c r="J22" s="86">
        <v>74</v>
      </c>
      <c r="K22" s="83" t="s">
        <v>16</v>
      </c>
      <c r="L22" s="86">
        <v>8</v>
      </c>
      <c r="M22" s="252">
        <v>15</v>
      </c>
      <c r="N22" s="88"/>
      <c r="O22" s="277">
        <v>5</v>
      </c>
      <c r="P22" s="348"/>
      <c r="Q22" s="13"/>
    </row>
    <row r="23" spans="1:17" ht="19.5" customHeight="1" x14ac:dyDescent="0.3">
      <c r="A23" s="37"/>
      <c r="B23" s="82">
        <f>B22</f>
        <v>2026</v>
      </c>
      <c r="C23" s="94">
        <f>C5</f>
        <v>4</v>
      </c>
      <c r="D23" s="95">
        <v>348</v>
      </c>
      <c r="E23" s="84">
        <v>46065</v>
      </c>
      <c r="F23" s="324">
        <v>6.5</v>
      </c>
      <c r="G23" s="85">
        <v>61</v>
      </c>
      <c r="H23" s="83" t="s">
        <v>14</v>
      </c>
      <c r="I23" s="86" t="s">
        <v>26</v>
      </c>
      <c r="J23" s="86">
        <v>29</v>
      </c>
      <c r="K23" s="83" t="s">
        <v>16</v>
      </c>
      <c r="L23" s="86">
        <v>9</v>
      </c>
      <c r="M23" s="252">
        <v>13</v>
      </c>
      <c r="N23" s="96">
        <v>10.862068965517199</v>
      </c>
      <c r="O23" s="278">
        <v>0</v>
      </c>
      <c r="P23" s="348"/>
      <c r="Q23" s="13"/>
    </row>
    <row r="24" spans="1:17" ht="19.5" customHeight="1" thickBot="1" x14ac:dyDescent="0.35">
      <c r="A24" s="37"/>
      <c r="B24" s="98">
        <f>B23</f>
        <v>2026</v>
      </c>
      <c r="C24" s="90">
        <f>C6</f>
        <v>4</v>
      </c>
      <c r="D24" s="99">
        <v>349</v>
      </c>
      <c r="E24" s="100"/>
      <c r="F24" s="326"/>
      <c r="G24" s="101"/>
      <c r="H24" s="99"/>
      <c r="I24" s="102"/>
      <c r="J24" s="102"/>
      <c r="K24" s="99"/>
      <c r="L24" s="102"/>
      <c r="M24" s="253"/>
      <c r="N24" s="104"/>
      <c r="O24" s="279"/>
      <c r="P24" s="349"/>
      <c r="Q24" s="13"/>
    </row>
    <row r="25" spans="1:17" ht="19.5" customHeight="1" thickBot="1" x14ac:dyDescent="0.35">
      <c r="A25" s="37"/>
      <c r="B25" s="106">
        <f>B24</f>
        <v>2026</v>
      </c>
      <c r="C25" s="107">
        <f>C3</f>
        <v>4</v>
      </c>
      <c r="D25" s="106">
        <v>401</v>
      </c>
      <c r="E25" s="108"/>
      <c r="F25" s="327"/>
      <c r="G25" s="109"/>
      <c r="H25" s="106"/>
      <c r="I25" s="110"/>
      <c r="J25" s="110"/>
      <c r="K25" s="106"/>
      <c r="L25" s="110"/>
      <c r="M25" s="254"/>
      <c r="N25" s="112"/>
      <c r="O25" s="280"/>
      <c r="P25" s="350" t="s">
        <v>34</v>
      </c>
      <c r="Q25" s="13"/>
    </row>
    <row r="26" spans="1:17" ht="19.5" customHeight="1" thickBot="1" x14ac:dyDescent="0.35">
      <c r="A26" s="37"/>
      <c r="B26" s="106">
        <f t="shared" ref="B26:B61" si="3">B25</f>
        <v>2026</v>
      </c>
      <c r="C26" s="114">
        <f>C3</f>
        <v>4</v>
      </c>
      <c r="D26" s="115">
        <v>404</v>
      </c>
      <c r="E26" s="116"/>
      <c r="F26" s="327"/>
      <c r="G26" s="109"/>
      <c r="H26" s="115"/>
      <c r="I26" s="117"/>
      <c r="J26" s="117"/>
      <c r="K26" s="115"/>
      <c r="L26" s="117"/>
      <c r="M26" s="255"/>
      <c r="N26" s="119"/>
      <c r="O26" s="281"/>
      <c r="P26" s="350"/>
      <c r="Q26" s="13"/>
    </row>
    <row r="27" spans="1:17" ht="19.5" customHeight="1" thickBot="1" x14ac:dyDescent="0.35">
      <c r="A27" s="37"/>
      <c r="B27" s="121">
        <f t="shared" si="3"/>
        <v>2026</v>
      </c>
      <c r="C27" s="121">
        <f>C3</f>
        <v>4</v>
      </c>
      <c r="D27" s="122">
        <v>405</v>
      </c>
      <c r="E27" s="123"/>
      <c r="F27" s="126"/>
      <c r="G27" s="124"/>
      <c r="H27" s="122"/>
      <c r="I27" s="124"/>
      <c r="J27" s="124"/>
      <c r="K27" s="122"/>
      <c r="L27" s="124"/>
      <c r="M27" s="256"/>
      <c r="N27" s="126"/>
      <c r="O27" s="282"/>
      <c r="P27" s="350"/>
      <c r="Q27" s="13"/>
    </row>
    <row r="28" spans="1:17" ht="19.5" customHeight="1" thickBot="1" x14ac:dyDescent="0.35">
      <c r="A28" s="37"/>
      <c r="B28" s="128">
        <f t="shared" si="3"/>
        <v>2026</v>
      </c>
      <c r="C28" s="128">
        <f>C3</f>
        <v>4</v>
      </c>
      <c r="D28" s="129">
        <v>411</v>
      </c>
      <c r="E28" s="130"/>
      <c r="F28" s="133"/>
      <c r="G28" s="131"/>
      <c r="H28" s="129"/>
      <c r="I28" s="131"/>
      <c r="J28" s="131"/>
      <c r="K28" s="129"/>
      <c r="L28" s="131"/>
      <c r="M28" s="257"/>
      <c r="N28" s="133"/>
      <c r="O28" s="283"/>
      <c r="P28" s="351" t="s">
        <v>35</v>
      </c>
      <c r="Q28" s="13"/>
    </row>
    <row r="29" spans="1:17" ht="19.5" customHeight="1" thickBot="1" x14ac:dyDescent="0.35">
      <c r="A29" s="37"/>
      <c r="B29" s="135">
        <f t="shared" si="3"/>
        <v>2026</v>
      </c>
      <c r="C29" s="135">
        <f>C3</f>
        <v>4</v>
      </c>
      <c r="D29" s="136">
        <v>418</v>
      </c>
      <c r="E29" s="137"/>
      <c r="F29" s="140"/>
      <c r="G29" s="138"/>
      <c r="H29" s="136"/>
      <c r="I29" s="138"/>
      <c r="J29" s="138"/>
      <c r="K29" s="136"/>
      <c r="L29" s="138"/>
      <c r="M29" s="258"/>
      <c r="N29" s="140"/>
      <c r="O29" s="284"/>
      <c r="P29" s="351"/>
      <c r="Q29" s="13"/>
    </row>
    <row r="30" spans="1:17" ht="19.5" customHeight="1" thickBot="1" x14ac:dyDescent="0.35">
      <c r="A30" s="37"/>
      <c r="B30" s="135">
        <f t="shared" si="3"/>
        <v>2026</v>
      </c>
      <c r="C30" s="135">
        <f>C3</f>
        <v>4</v>
      </c>
      <c r="D30" s="136">
        <v>501</v>
      </c>
      <c r="E30" s="142"/>
      <c r="F30" s="328"/>
      <c r="G30" s="143"/>
      <c r="H30" s="136"/>
      <c r="I30" s="138"/>
      <c r="J30" s="138"/>
      <c r="K30" s="136"/>
      <c r="L30" s="138"/>
      <c r="M30" s="258"/>
      <c r="N30" s="140"/>
      <c r="O30" s="284"/>
      <c r="P30" s="351"/>
      <c r="Q30" s="13"/>
    </row>
    <row r="31" spans="1:17" ht="19.5" customHeight="1" thickBot="1" x14ac:dyDescent="0.35">
      <c r="A31" s="37"/>
      <c r="B31" s="135">
        <f t="shared" si="3"/>
        <v>2026</v>
      </c>
      <c r="C31" s="135">
        <f>C3</f>
        <v>4</v>
      </c>
      <c r="D31" s="136">
        <v>504</v>
      </c>
      <c r="E31" s="137"/>
      <c r="F31" s="140"/>
      <c r="G31" s="138"/>
      <c r="H31" s="136"/>
      <c r="I31" s="138"/>
      <c r="J31" s="138"/>
      <c r="K31" s="136"/>
      <c r="L31" s="138"/>
      <c r="M31" s="258"/>
      <c r="N31" s="140"/>
      <c r="O31" s="284"/>
      <c r="P31" s="351"/>
      <c r="Q31" s="13"/>
    </row>
    <row r="32" spans="1:17" ht="19.5" customHeight="1" thickBot="1" x14ac:dyDescent="0.35">
      <c r="A32" s="37"/>
      <c r="B32" s="135">
        <f t="shared" si="3"/>
        <v>2026</v>
      </c>
      <c r="C32" s="135">
        <f>C3</f>
        <v>4</v>
      </c>
      <c r="D32" s="136">
        <v>519</v>
      </c>
      <c r="E32" s="137">
        <v>46062</v>
      </c>
      <c r="F32" s="140">
        <v>16.100000000000001</v>
      </c>
      <c r="G32" s="138">
        <v>38</v>
      </c>
      <c r="H32" s="136" t="s">
        <v>14</v>
      </c>
      <c r="I32" s="138" t="s">
        <v>19</v>
      </c>
      <c r="J32" s="138">
        <v>89</v>
      </c>
      <c r="K32" s="136" t="s">
        <v>16</v>
      </c>
      <c r="L32" s="138">
        <v>5</v>
      </c>
      <c r="M32" s="258">
        <v>10</v>
      </c>
      <c r="N32" s="140">
        <v>7.0337078651685401</v>
      </c>
      <c r="O32" s="284">
        <v>44</v>
      </c>
      <c r="P32" s="351"/>
      <c r="Q32" s="13"/>
    </row>
    <row r="33" spans="1:17" ht="19.5" customHeight="1" thickBot="1" x14ac:dyDescent="0.35">
      <c r="A33" s="37"/>
      <c r="B33" s="135">
        <f t="shared" si="3"/>
        <v>2026</v>
      </c>
      <c r="C33" s="135">
        <f>C3</f>
        <v>4</v>
      </c>
      <c r="D33" s="136">
        <v>602</v>
      </c>
      <c r="E33" s="142"/>
      <c r="F33" s="328"/>
      <c r="G33" s="143"/>
      <c r="H33" s="136"/>
      <c r="I33" s="138"/>
      <c r="J33" s="138"/>
      <c r="K33" s="136"/>
      <c r="L33" s="138"/>
      <c r="M33" s="258"/>
      <c r="N33" s="140"/>
      <c r="O33" s="284"/>
      <c r="P33" s="351"/>
      <c r="Q33" s="13"/>
    </row>
    <row r="34" spans="1:17" ht="19.5" customHeight="1" thickBot="1" x14ac:dyDescent="0.35">
      <c r="A34" s="37"/>
      <c r="B34" s="135">
        <f t="shared" si="3"/>
        <v>2026</v>
      </c>
      <c r="C34" s="135">
        <f>C3</f>
        <v>4</v>
      </c>
      <c r="D34" s="136">
        <v>606</v>
      </c>
      <c r="E34" s="137"/>
      <c r="F34" s="140"/>
      <c r="G34" s="138"/>
      <c r="H34" s="136"/>
      <c r="I34" s="138"/>
      <c r="J34" s="138"/>
      <c r="K34" s="136"/>
      <c r="L34" s="138"/>
      <c r="M34" s="258"/>
      <c r="N34" s="140"/>
      <c r="O34" s="284"/>
      <c r="P34" s="351"/>
      <c r="Q34" s="13"/>
    </row>
    <row r="35" spans="1:17" ht="19.5" customHeight="1" thickBot="1" x14ac:dyDescent="0.35">
      <c r="A35" s="37"/>
      <c r="B35" s="135">
        <f t="shared" si="3"/>
        <v>2026</v>
      </c>
      <c r="C35" s="135">
        <f>C3</f>
        <v>4</v>
      </c>
      <c r="D35" s="136">
        <v>609</v>
      </c>
      <c r="E35" s="137"/>
      <c r="F35" s="140"/>
      <c r="G35" s="138"/>
      <c r="H35" s="136"/>
      <c r="I35" s="138"/>
      <c r="J35" s="138"/>
      <c r="K35" s="136"/>
      <c r="L35" s="138"/>
      <c r="M35" s="258"/>
      <c r="N35" s="140"/>
      <c r="O35" s="284"/>
      <c r="P35" s="351"/>
      <c r="Q35" s="13"/>
    </row>
    <row r="36" spans="1:17" ht="19.5" customHeight="1" thickBot="1" x14ac:dyDescent="0.35">
      <c r="A36" s="37"/>
      <c r="B36" s="144">
        <f t="shared" si="3"/>
        <v>2026</v>
      </c>
      <c r="C36" s="145">
        <f>C3</f>
        <v>4</v>
      </c>
      <c r="D36" s="146">
        <v>610</v>
      </c>
      <c r="E36" s="147">
        <v>46064</v>
      </c>
      <c r="F36" s="329">
        <v>10.199999999999999</v>
      </c>
      <c r="G36" s="148">
        <v>67</v>
      </c>
      <c r="H36" s="146" t="s">
        <v>14</v>
      </c>
      <c r="I36" s="149" t="s">
        <v>19</v>
      </c>
      <c r="J36" s="149">
        <v>14</v>
      </c>
      <c r="K36" s="146" t="s">
        <v>16</v>
      </c>
      <c r="L36" s="149">
        <v>6</v>
      </c>
      <c r="M36" s="259">
        <v>8</v>
      </c>
      <c r="N36" s="151">
        <v>7.1428571428571397</v>
      </c>
      <c r="O36" s="285">
        <v>10</v>
      </c>
      <c r="P36" s="351"/>
      <c r="Q36" s="13"/>
    </row>
    <row r="37" spans="1:17" ht="19.5" customHeight="1" thickBot="1" x14ac:dyDescent="0.35">
      <c r="A37" s="37"/>
      <c r="B37" s="153">
        <f t="shared" si="3"/>
        <v>2026</v>
      </c>
      <c r="C37" s="154">
        <f>C3</f>
        <v>4</v>
      </c>
      <c r="D37" s="155">
        <v>508</v>
      </c>
      <c r="E37" s="156"/>
      <c r="F37" s="330"/>
      <c r="G37" s="157"/>
      <c r="H37" s="158"/>
      <c r="I37" s="158"/>
      <c r="J37" s="158"/>
      <c r="K37" s="155"/>
      <c r="L37" s="158"/>
      <c r="M37" s="260"/>
      <c r="N37" s="160"/>
      <c r="O37" s="286"/>
      <c r="P37" s="352" t="s">
        <v>13</v>
      </c>
      <c r="Q37" s="13"/>
    </row>
    <row r="38" spans="1:17" ht="19.5" customHeight="1" thickBot="1" x14ac:dyDescent="0.35">
      <c r="A38" s="37"/>
      <c r="B38" s="162">
        <f t="shared" si="3"/>
        <v>2026</v>
      </c>
      <c r="C38" s="154">
        <f>C3</f>
        <v>4</v>
      </c>
      <c r="D38" s="163">
        <v>513</v>
      </c>
      <c r="E38" s="164"/>
      <c r="F38" s="331"/>
      <c r="G38" s="165"/>
      <c r="H38" s="166"/>
      <c r="I38" s="166"/>
      <c r="J38" s="166"/>
      <c r="K38" s="163"/>
      <c r="L38" s="166"/>
      <c r="M38" s="261"/>
      <c r="N38" s="168"/>
      <c r="O38" s="287"/>
      <c r="P38" s="352"/>
      <c r="Q38" s="13"/>
    </row>
    <row r="39" spans="1:17" ht="19.5" customHeight="1" thickBot="1" x14ac:dyDescent="0.35">
      <c r="A39" s="37"/>
      <c r="B39" s="162">
        <f t="shared" si="3"/>
        <v>2026</v>
      </c>
      <c r="C39" s="154">
        <f>C3</f>
        <v>4</v>
      </c>
      <c r="D39" s="163">
        <v>520</v>
      </c>
      <c r="E39" s="164"/>
      <c r="F39" s="331"/>
      <c r="G39" s="165"/>
      <c r="H39" s="166"/>
      <c r="I39" s="166"/>
      <c r="J39" s="166"/>
      <c r="K39" s="163"/>
      <c r="L39" s="166"/>
      <c r="M39" s="261"/>
      <c r="N39" s="168"/>
      <c r="O39" s="287"/>
      <c r="P39" s="352"/>
      <c r="Q39" s="13"/>
    </row>
    <row r="40" spans="1:17" ht="19.5" customHeight="1" thickBot="1" x14ac:dyDescent="0.35">
      <c r="A40" s="37"/>
      <c r="B40" s="162">
        <f t="shared" si="3"/>
        <v>2026</v>
      </c>
      <c r="C40" s="154">
        <f>C3</f>
        <v>4</v>
      </c>
      <c r="D40" s="163">
        <v>801</v>
      </c>
      <c r="E40" s="164">
        <v>46062</v>
      </c>
      <c r="F40" s="331">
        <v>8.6999999999999993</v>
      </c>
      <c r="G40" s="165">
        <v>89</v>
      </c>
      <c r="H40" s="166" t="s">
        <v>14</v>
      </c>
      <c r="I40" s="166" t="s">
        <v>26</v>
      </c>
      <c r="J40" s="166">
        <v>4</v>
      </c>
      <c r="K40" s="163" t="s">
        <v>16</v>
      </c>
      <c r="L40" s="166">
        <v>6</v>
      </c>
      <c r="M40" s="261">
        <v>7</v>
      </c>
      <c r="N40" s="168">
        <v>6.5</v>
      </c>
      <c r="O40" s="287">
        <v>0</v>
      </c>
      <c r="P40" s="352"/>
      <c r="Q40" s="13"/>
    </row>
    <row r="41" spans="1:17" ht="19.5" customHeight="1" thickBot="1" x14ac:dyDescent="0.35">
      <c r="A41" s="37"/>
      <c r="B41" s="170">
        <f t="shared" si="3"/>
        <v>2026</v>
      </c>
      <c r="C41" s="171">
        <f>C3</f>
        <v>4</v>
      </c>
      <c r="D41" s="172">
        <v>804</v>
      </c>
      <c r="E41" s="173">
        <v>46063</v>
      </c>
      <c r="F41" s="332">
        <v>8.6</v>
      </c>
      <c r="G41" s="174">
        <v>121</v>
      </c>
      <c r="H41" s="175" t="s">
        <v>14</v>
      </c>
      <c r="I41" s="175" t="s">
        <v>26</v>
      </c>
      <c r="J41" s="175">
        <v>12</v>
      </c>
      <c r="K41" s="172" t="s">
        <v>16</v>
      </c>
      <c r="L41" s="175">
        <v>6</v>
      </c>
      <c r="M41" s="262">
        <v>8</v>
      </c>
      <c r="N41" s="177">
        <v>7.25</v>
      </c>
      <c r="O41" s="288">
        <v>0</v>
      </c>
      <c r="P41" s="352"/>
      <c r="Q41" s="13"/>
    </row>
    <row r="42" spans="1:17" ht="19.5" customHeight="1" x14ac:dyDescent="0.3">
      <c r="A42" s="37"/>
      <c r="B42" s="179">
        <f t="shared" si="3"/>
        <v>2026</v>
      </c>
      <c r="C42" s="180">
        <f>C3</f>
        <v>4</v>
      </c>
      <c r="D42" s="181">
        <v>703</v>
      </c>
      <c r="E42" s="182">
        <v>46063</v>
      </c>
      <c r="F42" s="333">
        <v>6.4</v>
      </c>
      <c r="G42" s="183">
        <v>123</v>
      </c>
      <c r="H42" s="184" t="s">
        <v>14</v>
      </c>
      <c r="I42" s="185" t="s">
        <v>26</v>
      </c>
      <c r="J42" s="185">
        <v>2</v>
      </c>
      <c r="K42" s="181" t="s">
        <v>16</v>
      </c>
      <c r="L42" s="185">
        <v>6</v>
      </c>
      <c r="M42" s="263">
        <v>6</v>
      </c>
      <c r="N42" s="187">
        <v>6</v>
      </c>
      <c r="O42" s="289">
        <v>0</v>
      </c>
      <c r="P42" s="353" t="s">
        <v>36</v>
      </c>
      <c r="Q42" s="13"/>
    </row>
    <row r="43" spans="1:17" ht="19.5" customHeight="1" x14ac:dyDescent="0.3">
      <c r="A43" s="37"/>
      <c r="B43" s="189">
        <f t="shared" si="3"/>
        <v>2026</v>
      </c>
      <c r="C43" s="190">
        <f>C3</f>
        <v>4</v>
      </c>
      <c r="D43" s="191">
        <v>704</v>
      </c>
      <c r="E43" s="192">
        <v>46063</v>
      </c>
      <c r="F43" s="334">
        <v>6.9</v>
      </c>
      <c r="G43" s="193">
        <v>113</v>
      </c>
      <c r="H43" s="184" t="s">
        <v>14</v>
      </c>
      <c r="I43" s="194" t="s">
        <v>26</v>
      </c>
      <c r="J43" s="194">
        <v>16</v>
      </c>
      <c r="K43" s="191" t="s">
        <v>16</v>
      </c>
      <c r="L43" s="194">
        <v>7</v>
      </c>
      <c r="M43" s="264">
        <v>8</v>
      </c>
      <c r="N43" s="196">
        <v>7.125</v>
      </c>
      <c r="O43" s="290">
        <v>9</v>
      </c>
      <c r="P43" s="354"/>
      <c r="Q43" s="13"/>
    </row>
    <row r="44" spans="1:17" ht="19.5" customHeight="1" x14ac:dyDescent="0.3">
      <c r="A44" s="37"/>
      <c r="B44" s="189">
        <f t="shared" si="3"/>
        <v>2026</v>
      </c>
      <c r="C44" s="190">
        <f>C3</f>
        <v>4</v>
      </c>
      <c r="D44" s="191">
        <v>705</v>
      </c>
      <c r="E44" s="192">
        <v>46063</v>
      </c>
      <c r="F44" s="334">
        <v>4.2</v>
      </c>
      <c r="G44" s="193">
        <v>200</v>
      </c>
      <c r="H44" s="184" t="s">
        <v>14</v>
      </c>
      <c r="I44" s="194" t="s">
        <v>26</v>
      </c>
      <c r="J44" s="194">
        <v>3</v>
      </c>
      <c r="K44" s="191" t="s">
        <v>16</v>
      </c>
      <c r="L44" s="194">
        <v>7</v>
      </c>
      <c r="M44" s="264">
        <v>7</v>
      </c>
      <c r="N44" s="196">
        <v>7</v>
      </c>
      <c r="O44" s="290">
        <v>0</v>
      </c>
      <c r="P44" s="354"/>
      <c r="Q44" s="13"/>
    </row>
    <row r="45" spans="1:17" ht="19.5" customHeight="1" x14ac:dyDescent="0.3">
      <c r="A45" s="37"/>
      <c r="B45" s="189">
        <f t="shared" si="3"/>
        <v>2026</v>
      </c>
      <c r="C45" s="190">
        <f>C3</f>
        <v>4</v>
      </c>
      <c r="D45" s="191">
        <v>706</v>
      </c>
      <c r="E45" s="192">
        <v>46063</v>
      </c>
      <c r="F45" s="334">
        <v>6.2</v>
      </c>
      <c r="G45" s="193">
        <v>125</v>
      </c>
      <c r="H45" s="184" t="s">
        <v>14</v>
      </c>
      <c r="I45" s="194" t="s">
        <v>26</v>
      </c>
      <c r="J45" s="194">
        <v>21</v>
      </c>
      <c r="K45" s="191" t="s">
        <v>16</v>
      </c>
      <c r="L45" s="194">
        <v>7</v>
      </c>
      <c r="M45" s="264">
        <v>8</v>
      </c>
      <c r="N45" s="196">
        <v>7.1052631578947398</v>
      </c>
      <c r="O45" s="290">
        <v>9</v>
      </c>
      <c r="P45" s="354"/>
      <c r="Q45" s="13"/>
    </row>
    <row r="46" spans="1:17" ht="19.5" customHeight="1" x14ac:dyDescent="0.3">
      <c r="A46" s="37"/>
      <c r="B46" s="189">
        <f t="shared" si="3"/>
        <v>2026</v>
      </c>
      <c r="C46" s="190">
        <f>C3</f>
        <v>4</v>
      </c>
      <c r="D46" s="191">
        <v>707</v>
      </c>
      <c r="E46" s="192">
        <v>46063</v>
      </c>
      <c r="F46" s="334">
        <v>6</v>
      </c>
      <c r="G46" s="193">
        <v>135</v>
      </c>
      <c r="H46" s="184" t="s">
        <v>14</v>
      </c>
      <c r="I46" s="194" t="s">
        <v>26</v>
      </c>
      <c r="J46" s="194">
        <v>58</v>
      </c>
      <c r="K46" s="191" t="s">
        <v>16</v>
      </c>
      <c r="L46" s="194">
        <v>5</v>
      </c>
      <c r="M46" s="264">
        <v>8</v>
      </c>
      <c r="N46" s="196">
        <v>6.3090909090909104</v>
      </c>
      <c r="O46" s="290">
        <v>6</v>
      </c>
      <c r="P46" s="354"/>
      <c r="Q46" s="13"/>
    </row>
    <row r="47" spans="1:17" ht="19.5" customHeight="1" x14ac:dyDescent="0.3">
      <c r="A47" s="37"/>
      <c r="B47" s="189">
        <f t="shared" si="3"/>
        <v>2026</v>
      </c>
      <c r="C47" s="190">
        <f>C3</f>
        <v>4</v>
      </c>
      <c r="D47" s="191">
        <v>711</v>
      </c>
      <c r="E47" s="192">
        <v>46063</v>
      </c>
      <c r="F47" s="334">
        <v>8.6999999999999993</v>
      </c>
      <c r="G47" s="193">
        <v>132</v>
      </c>
      <c r="H47" s="184" t="s">
        <v>14</v>
      </c>
      <c r="I47" s="194" t="s">
        <v>15</v>
      </c>
      <c r="J47" s="194"/>
      <c r="K47" s="191" t="s">
        <v>16</v>
      </c>
      <c r="L47" s="194"/>
      <c r="M47" s="264"/>
      <c r="N47" s="196"/>
      <c r="O47" s="290"/>
      <c r="P47" s="354"/>
      <c r="Q47" s="13"/>
    </row>
    <row r="48" spans="1:17" ht="19.5" customHeight="1" x14ac:dyDescent="0.3">
      <c r="A48" s="37"/>
      <c r="B48" s="198">
        <f t="shared" si="3"/>
        <v>2026</v>
      </c>
      <c r="C48" s="198">
        <f>C3</f>
        <v>4</v>
      </c>
      <c r="D48" s="199">
        <v>716</v>
      </c>
      <c r="E48" s="200">
        <v>46063</v>
      </c>
      <c r="F48" s="335">
        <v>8.9</v>
      </c>
      <c r="G48" s="201">
        <v>117</v>
      </c>
      <c r="H48" s="202" t="s">
        <v>14</v>
      </c>
      <c r="I48" s="201" t="s">
        <v>26</v>
      </c>
      <c r="J48" s="201">
        <v>2</v>
      </c>
      <c r="K48" s="199" t="s">
        <v>16</v>
      </c>
      <c r="L48" s="265">
        <v>6</v>
      </c>
      <c r="M48" s="266">
        <v>6</v>
      </c>
      <c r="N48" s="204">
        <v>6</v>
      </c>
      <c r="O48" s="291">
        <v>1</v>
      </c>
      <c r="P48" s="354"/>
      <c r="Q48" s="13"/>
    </row>
    <row r="49" spans="1:17" ht="19.5" customHeight="1" thickBot="1" x14ac:dyDescent="0.35">
      <c r="A49" s="37"/>
      <c r="B49" s="189">
        <f t="shared" si="3"/>
        <v>2026</v>
      </c>
      <c r="C49" s="190">
        <f>C3</f>
        <v>4</v>
      </c>
      <c r="D49" s="191">
        <v>723</v>
      </c>
      <c r="E49" s="192">
        <v>46063</v>
      </c>
      <c r="F49" s="334">
        <v>7.7</v>
      </c>
      <c r="G49" s="193">
        <v>106</v>
      </c>
      <c r="H49" s="184" t="s">
        <v>14</v>
      </c>
      <c r="I49" s="193" t="s">
        <v>26</v>
      </c>
      <c r="J49" s="194">
        <v>2</v>
      </c>
      <c r="K49" s="184" t="s">
        <v>16</v>
      </c>
      <c r="L49" s="193">
        <v>7</v>
      </c>
      <c r="M49" s="267">
        <v>7</v>
      </c>
      <c r="N49" s="207">
        <v>7</v>
      </c>
      <c r="O49" s="292">
        <v>1</v>
      </c>
      <c r="P49" s="355"/>
      <c r="Q49" s="13"/>
    </row>
    <row r="50" spans="1:17" ht="19.5" customHeight="1" thickBot="1" x14ac:dyDescent="0.35">
      <c r="A50" s="37"/>
      <c r="B50" s="209">
        <v>2026</v>
      </c>
      <c r="C50" s="210">
        <f>C3</f>
        <v>4</v>
      </c>
      <c r="D50" s="211">
        <v>809</v>
      </c>
      <c r="E50" s="212">
        <v>46062</v>
      </c>
      <c r="F50" s="336">
        <v>7.8</v>
      </c>
      <c r="G50" s="213">
        <v>113</v>
      </c>
      <c r="H50" s="211" t="s">
        <v>14</v>
      </c>
      <c r="I50" s="214" t="s">
        <v>26</v>
      </c>
      <c r="J50" s="214">
        <v>11</v>
      </c>
      <c r="K50" s="211" t="s">
        <v>16</v>
      </c>
      <c r="L50" s="214">
        <v>6</v>
      </c>
      <c r="M50" s="268">
        <v>7</v>
      </c>
      <c r="N50" s="216">
        <v>6.4545454545454497</v>
      </c>
      <c r="O50" s="293">
        <v>11</v>
      </c>
      <c r="P50" s="345" t="s">
        <v>30</v>
      </c>
      <c r="Q50" s="13"/>
    </row>
    <row r="51" spans="1:17" ht="19.5" customHeight="1" thickBot="1" x14ac:dyDescent="0.35">
      <c r="A51" s="37"/>
      <c r="B51" s="218">
        <f t="shared" si="3"/>
        <v>2026</v>
      </c>
      <c r="C51" s="219">
        <f>C3</f>
        <v>4</v>
      </c>
      <c r="D51" s="220">
        <v>812</v>
      </c>
      <c r="E51" s="221">
        <v>46062</v>
      </c>
      <c r="F51" s="337">
        <v>7.2</v>
      </c>
      <c r="G51" s="222">
        <v>118</v>
      </c>
      <c r="H51" s="220" t="s">
        <v>14</v>
      </c>
      <c r="I51" s="223" t="s">
        <v>26</v>
      </c>
      <c r="J51" s="223">
        <v>9</v>
      </c>
      <c r="K51" s="220" t="s">
        <v>16</v>
      </c>
      <c r="L51" s="223">
        <v>6</v>
      </c>
      <c r="M51" s="269">
        <v>9</v>
      </c>
      <c r="N51" s="225">
        <v>7.2222222222222197</v>
      </c>
      <c r="O51" s="294">
        <v>4</v>
      </c>
      <c r="P51" s="345"/>
      <c r="Q51" s="13"/>
    </row>
    <row r="52" spans="1:17" ht="19.5" customHeight="1" thickBot="1" x14ac:dyDescent="0.35">
      <c r="A52" s="37"/>
      <c r="B52" s="227">
        <f t="shared" si="3"/>
        <v>2026</v>
      </c>
      <c r="C52" s="228">
        <f>C3</f>
        <v>4</v>
      </c>
      <c r="D52" s="229">
        <v>815</v>
      </c>
      <c r="E52" s="230">
        <v>46062</v>
      </c>
      <c r="F52" s="338">
        <v>5.6</v>
      </c>
      <c r="G52" s="231">
        <v>133</v>
      </c>
      <c r="H52" s="232" t="s">
        <v>14</v>
      </c>
      <c r="I52" s="233" t="s">
        <v>26</v>
      </c>
      <c r="J52" s="233">
        <v>3</v>
      </c>
      <c r="K52" s="229" t="s">
        <v>16</v>
      </c>
      <c r="L52" s="233">
        <v>7</v>
      </c>
      <c r="M52" s="270">
        <v>8</v>
      </c>
      <c r="N52" s="235">
        <v>7.3333333333333304</v>
      </c>
      <c r="O52" s="295">
        <v>0</v>
      </c>
      <c r="P52" s="345"/>
      <c r="Q52" s="13"/>
    </row>
    <row r="53" spans="1:17" ht="19.5" customHeight="1" thickBot="1" x14ac:dyDescent="0.35">
      <c r="A53" s="37"/>
      <c r="B53" s="227">
        <f t="shared" si="3"/>
        <v>2026</v>
      </c>
      <c r="C53" s="228">
        <f>C3</f>
        <v>4</v>
      </c>
      <c r="D53" s="229">
        <v>901</v>
      </c>
      <c r="E53" s="237">
        <v>46062</v>
      </c>
      <c r="F53" s="339">
        <v>5.4</v>
      </c>
      <c r="G53" s="231">
        <v>143</v>
      </c>
      <c r="H53" s="232" t="s">
        <v>14</v>
      </c>
      <c r="I53" s="233" t="s">
        <v>26</v>
      </c>
      <c r="J53" s="233">
        <v>3</v>
      </c>
      <c r="K53" s="229" t="s">
        <v>16</v>
      </c>
      <c r="L53" s="233">
        <v>7</v>
      </c>
      <c r="M53" s="270">
        <v>8</v>
      </c>
      <c r="N53" s="235">
        <v>7.6666666666666696</v>
      </c>
      <c r="O53" s="295">
        <v>0</v>
      </c>
      <c r="P53" s="345"/>
      <c r="Q53" s="13"/>
    </row>
    <row r="54" spans="1:17" ht="19.5" customHeight="1" thickBot="1" x14ac:dyDescent="0.35">
      <c r="A54" s="37"/>
      <c r="B54" s="227">
        <f t="shared" si="3"/>
        <v>2026</v>
      </c>
      <c r="C54" s="228">
        <f>C3</f>
        <v>4</v>
      </c>
      <c r="D54" s="229">
        <v>902</v>
      </c>
      <c r="E54" s="237">
        <v>46062</v>
      </c>
      <c r="F54" s="339">
        <v>5.6</v>
      </c>
      <c r="G54" s="231">
        <v>140</v>
      </c>
      <c r="H54" s="232" t="s">
        <v>14</v>
      </c>
      <c r="I54" s="233" t="s">
        <v>15</v>
      </c>
      <c r="J54" s="233"/>
      <c r="K54" s="229" t="s">
        <v>16</v>
      </c>
      <c r="L54" s="233"/>
      <c r="M54" s="270"/>
      <c r="N54" s="235"/>
      <c r="O54" s="295"/>
      <c r="P54" s="345"/>
      <c r="Q54" s="13"/>
    </row>
    <row r="55" spans="1:17" ht="19.5" customHeight="1" thickBot="1" x14ac:dyDescent="0.35">
      <c r="A55" s="37"/>
      <c r="B55" s="227">
        <f t="shared" si="3"/>
        <v>2026</v>
      </c>
      <c r="C55" s="228">
        <f>C3</f>
        <v>4</v>
      </c>
      <c r="D55" s="229">
        <v>906</v>
      </c>
      <c r="E55" s="237">
        <v>46062</v>
      </c>
      <c r="F55" s="339">
        <v>3.9</v>
      </c>
      <c r="G55" s="231">
        <v>180</v>
      </c>
      <c r="H55" s="232" t="s">
        <v>14</v>
      </c>
      <c r="I55" s="233" t="s">
        <v>15</v>
      </c>
      <c r="J55" s="233"/>
      <c r="K55" s="229" t="s">
        <v>16</v>
      </c>
      <c r="L55" s="233"/>
      <c r="M55" s="270"/>
      <c r="N55" s="235"/>
      <c r="O55" s="295"/>
      <c r="P55" s="345"/>
      <c r="Q55" s="13"/>
    </row>
    <row r="56" spans="1:17" ht="19.5" customHeight="1" thickBot="1" x14ac:dyDescent="0.35">
      <c r="A56" s="37"/>
      <c r="B56" s="227">
        <f t="shared" si="3"/>
        <v>2026</v>
      </c>
      <c r="C56" s="228">
        <f>C3</f>
        <v>4</v>
      </c>
      <c r="D56" s="229">
        <v>910</v>
      </c>
      <c r="E56" s="237">
        <v>46062</v>
      </c>
      <c r="F56" s="339">
        <v>4.9000000000000004</v>
      </c>
      <c r="G56" s="231">
        <v>118</v>
      </c>
      <c r="H56" s="232" t="s">
        <v>14</v>
      </c>
      <c r="I56" s="233" t="s">
        <v>15</v>
      </c>
      <c r="J56" s="233"/>
      <c r="K56" s="229" t="s">
        <v>16</v>
      </c>
      <c r="L56" s="233"/>
      <c r="M56" s="270"/>
      <c r="N56" s="235"/>
      <c r="O56" s="295"/>
      <c r="P56" s="345"/>
      <c r="Q56" s="13"/>
    </row>
    <row r="57" spans="1:17" ht="19.5" customHeight="1" thickBot="1" x14ac:dyDescent="0.35">
      <c r="A57" s="37"/>
      <c r="B57" s="227">
        <f t="shared" si="3"/>
        <v>2026</v>
      </c>
      <c r="C57" s="228">
        <f>C3</f>
        <v>4</v>
      </c>
      <c r="D57" s="229">
        <v>912</v>
      </c>
      <c r="E57" s="237">
        <v>46062</v>
      </c>
      <c r="F57" s="339">
        <v>5.5</v>
      </c>
      <c r="G57" s="231">
        <v>117</v>
      </c>
      <c r="H57" s="232" t="s">
        <v>14</v>
      </c>
      <c r="I57" s="233" t="s">
        <v>15</v>
      </c>
      <c r="J57" s="233"/>
      <c r="K57" s="229" t="s">
        <v>16</v>
      </c>
      <c r="L57" s="233"/>
      <c r="M57" s="270"/>
      <c r="N57" s="235"/>
      <c r="O57" s="295"/>
      <c r="P57" s="345"/>
      <c r="Q57" s="13"/>
    </row>
    <row r="58" spans="1:17" ht="19.5" customHeight="1" thickBot="1" x14ac:dyDescent="0.35">
      <c r="A58" s="37"/>
      <c r="B58" s="227">
        <f t="shared" si="3"/>
        <v>2026</v>
      </c>
      <c r="C58" s="228">
        <f>C3</f>
        <v>4</v>
      </c>
      <c r="D58" s="229">
        <v>914</v>
      </c>
      <c r="E58" s="237">
        <v>46062</v>
      </c>
      <c r="F58" s="339">
        <v>12.6</v>
      </c>
      <c r="G58" s="231">
        <v>200</v>
      </c>
      <c r="H58" s="232" t="s">
        <v>14</v>
      </c>
      <c r="I58" s="233" t="s">
        <v>26</v>
      </c>
      <c r="J58" s="233">
        <v>1</v>
      </c>
      <c r="K58" s="229" t="s">
        <v>16</v>
      </c>
      <c r="L58" s="233">
        <v>10</v>
      </c>
      <c r="M58" s="270">
        <v>10</v>
      </c>
      <c r="N58" s="235">
        <v>10</v>
      </c>
      <c r="O58" s="295">
        <v>0</v>
      </c>
      <c r="P58" s="345"/>
      <c r="Q58" s="13"/>
    </row>
    <row r="59" spans="1:17" ht="19.5" customHeight="1" thickBot="1" x14ac:dyDescent="0.35">
      <c r="A59" s="37"/>
      <c r="B59" s="227">
        <f t="shared" si="3"/>
        <v>2026</v>
      </c>
      <c r="C59" s="228">
        <f>C3</f>
        <v>4</v>
      </c>
      <c r="D59" s="229">
        <v>915</v>
      </c>
      <c r="E59" s="237">
        <v>46062</v>
      </c>
      <c r="F59" s="339">
        <v>3.2</v>
      </c>
      <c r="G59" s="231">
        <v>155</v>
      </c>
      <c r="H59" s="232" t="s">
        <v>14</v>
      </c>
      <c r="I59" s="233" t="s">
        <v>15</v>
      </c>
      <c r="J59" s="233"/>
      <c r="K59" s="229" t="s">
        <v>16</v>
      </c>
      <c r="L59" s="233"/>
      <c r="M59" s="270"/>
      <c r="N59" s="235"/>
      <c r="O59" s="295"/>
      <c r="P59" s="345"/>
      <c r="Q59" s="13"/>
    </row>
    <row r="60" spans="1:17" ht="19.5" customHeight="1" thickBot="1" x14ac:dyDescent="0.35">
      <c r="A60" s="37"/>
      <c r="B60" s="227">
        <f t="shared" si="3"/>
        <v>2026</v>
      </c>
      <c r="C60" s="228">
        <f>C3</f>
        <v>4</v>
      </c>
      <c r="D60" s="229">
        <v>918</v>
      </c>
      <c r="E60" s="237">
        <v>46064</v>
      </c>
      <c r="F60" s="339">
        <v>2.9</v>
      </c>
      <c r="G60" s="231">
        <v>180</v>
      </c>
      <c r="H60" s="232" t="s">
        <v>14</v>
      </c>
      <c r="I60" s="233" t="s">
        <v>15</v>
      </c>
      <c r="J60" s="233"/>
      <c r="K60" s="229" t="s">
        <v>16</v>
      </c>
      <c r="L60" s="233"/>
      <c r="M60" s="270"/>
      <c r="N60" s="235"/>
      <c r="O60" s="295"/>
      <c r="P60" s="345"/>
      <c r="Q60" s="13"/>
    </row>
    <row r="61" spans="1:17" ht="19.5" customHeight="1" thickBot="1" x14ac:dyDescent="0.35">
      <c r="A61" s="37"/>
      <c r="B61" s="238">
        <f t="shared" si="3"/>
        <v>2026</v>
      </c>
      <c r="C61" s="239">
        <f>C3</f>
        <v>4</v>
      </c>
      <c r="D61" s="240">
        <v>919</v>
      </c>
      <c r="E61" s="241">
        <v>46062</v>
      </c>
      <c r="F61" s="340">
        <v>3.7</v>
      </c>
      <c r="G61" s="242">
        <v>200</v>
      </c>
      <c r="H61" s="232" t="s">
        <v>14</v>
      </c>
      <c r="I61" s="243" t="s">
        <v>15</v>
      </c>
      <c r="J61" s="243"/>
      <c r="K61" s="240" t="s">
        <v>16</v>
      </c>
      <c r="L61" s="243"/>
      <c r="M61" s="271"/>
      <c r="N61" s="245"/>
      <c r="O61" s="296"/>
      <c r="P61" s="345"/>
      <c r="Q61" s="13"/>
    </row>
    <row r="62" spans="1:17" ht="19.5" customHeight="1" x14ac:dyDescent="0.3">
      <c r="A62" s="37"/>
      <c r="B62" s="4" t="s">
        <v>20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7"/>
      <c r="B63" s="4" t="s">
        <v>21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7"/>
      <c r="B64" s="4" t="s">
        <v>22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29" ht="19.5" customHeight="1" x14ac:dyDescent="0.3">
      <c r="A65" s="37"/>
      <c r="B65" s="7" t="s">
        <v>38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23"/>
    </row>
    <row r="66" spans="1:29" ht="19.5" customHeight="1" x14ac:dyDescent="0.3">
      <c r="A66" s="37"/>
      <c r="B66" s="24"/>
      <c r="C66" s="24"/>
      <c r="D66" s="24"/>
      <c r="E66" s="24"/>
      <c r="F66" s="24"/>
      <c r="G66"/>
      <c r="H66"/>
      <c r="I66"/>
      <c r="J66"/>
      <c r="K66"/>
      <c r="L66"/>
      <c r="M66"/>
      <c r="N66"/>
      <c r="O66"/>
      <c r="P66"/>
      <c r="Q66" s="26"/>
      <c r="S66" s="29"/>
      <c r="T66" s="30"/>
      <c r="U66" s="29"/>
      <c r="V66" s="29"/>
      <c r="W66" s="28"/>
      <c r="X66" s="31"/>
      <c r="Y66" s="28"/>
      <c r="Z66" s="31"/>
      <c r="AA66" s="31"/>
      <c r="AB66" s="31"/>
      <c r="AC66" s="29"/>
    </row>
    <row r="67" spans="1:29" ht="19.5" customHeight="1" x14ac:dyDescent="0.3">
      <c r="F67" s="27"/>
      <c r="G67"/>
      <c r="H67"/>
      <c r="I67"/>
      <c r="J67"/>
      <c r="K67"/>
      <c r="L67"/>
      <c r="M67"/>
      <c r="N67"/>
      <c r="O67"/>
      <c r="P67"/>
      <c r="Q67" s="33"/>
    </row>
    <row r="68" spans="1:29" ht="19.5" customHeight="1" x14ac:dyDescent="0.3">
      <c r="G68"/>
      <c r="H68"/>
      <c r="I68"/>
      <c r="J68"/>
      <c r="K68"/>
      <c r="L68"/>
      <c r="M68"/>
      <c r="N68"/>
      <c r="O68"/>
      <c r="P68"/>
      <c r="Q68" s="34"/>
    </row>
    <row r="69" spans="1:29" ht="19.5" customHeight="1" x14ac:dyDescent="0.3">
      <c r="G69"/>
      <c r="H69"/>
      <c r="I69"/>
      <c r="J69"/>
      <c r="K69"/>
      <c r="L69"/>
      <c r="M69"/>
      <c r="N69"/>
      <c r="O69"/>
      <c r="P69"/>
      <c r="Q69" s="35"/>
    </row>
    <row r="70" spans="1:29" ht="15" customHeight="1" x14ac:dyDescent="0.3">
      <c r="G70"/>
      <c r="H70"/>
      <c r="I70"/>
      <c r="J70"/>
      <c r="K70"/>
      <c r="L70"/>
      <c r="M70"/>
      <c r="N70"/>
      <c r="O70"/>
      <c r="P70"/>
    </row>
    <row r="71" spans="1:29" ht="15" customHeight="1" x14ac:dyDescent="0.3">
      <c r="G71"/>
      <c r="H71"/>
      <c r="I71"/>
      <c r="J71"/>
      <c r="K71"/>
      <c r="L71"/>
      <c r="M71"/>
      <c r="N71"/>
      <c r="O71"/>
      <c r="P71"/>
      <c r="Q71" s="24"/>
    </row>
    <row r="72" spans="1:29" ht="15" customHeight="1" x14ac:dyDescent="0.3">
      <c r="G72"/>
      <c r="H72"/>
      <c r="I72"/>
      <c r="J72"/>
      <c r="K72"/>
      <c r="L72"/>
      <c r="M72"/>
      <c r="N72"/>
      <c r="O72"/>
      <c r="P72"/>
      <c r="Q72" s="24"/>
    </row>
    <row r="73" spans="1:29" ht="15" customHeight="1" x14ac:dyDescent="0.3">
      <c r="G73"/>
      <c r="H73"/>
      <c r="I73"/>
      <c r="J73"/>
      <c r="K73"/>
      <c r="L73"/>
      <c r="M73"/>
      <c r="N73"/>
      <c r="O73"/>
      <c r="P73"/>
      <c r="Q73" s="24"/>
    </row>
    <row r="74" spans="1:29" ht="15" customHeight="1" x14ac:dyDescent="0.3">
      <c r="G74"/>
      <c r="H74"/>
      <c r="I74"/>
      <c r="J74"/>
      <c r="K74"/>
      <c r="L74"/>
      <c r="M74"/>
      <c r="N74"/>
      <c r="O74"/>
      <c r="P74"/>
      <c r="Q74" s="24"/>
    </row>
    <row r="75" spans="1:29" ht="15" customHeight="1" x14ac:dyDescent="0.3">
      <c r="G75"/>
      <c r="H75"/>
      <c r="I75"/>
      <c r="J75"/>
      <c r="K75"/>
      <c r="L75"/>
      <c r="M75"/>
      <c r="N75"/>
      <c r="O75"/>
      <c r="P75"/>
    </row>
    <row r="76" spans="1:29" ht="15" customHeight="1" x14ac:dyDescent="0.3">
      <c r="G76"/>
      <c r="H76"/>
      <c r="I76"/>
      <c r="J76"/>
      <c r="K76"/>
      <c r="L76"/>
      <c r="M76"/>
      <c r="N76"/>
      <c r="O76"/>
      <c r="P76"/>
    </row>
    <row r="77" spans="1:29" ht="15" customHeight="1" x14ac:dyDescent="0.3">
      <c r="G77"/>
      <c r="H77"/>
      <c r="I77"/>
      <c r="J77"/>
      <c r="K77"/>
      <c r="L77"/>
      <c r="M77"/>
      <c r="N77"/>
      <c r="O77"/>
      <c r="P77"/>
    </row>
    <row r="78" spans="1:29" ht="14.4" x14ac:dyDescent="0.3">
      <c r="G78"/>
      <c r="H78"/>
      <c r="I78"/>
      <c r="J78"/>
      <c r="K78"/>
      <c r="L78"/>
      <c r="M78"/>
      <c r="N78"/>
      <c r="O78"/>
      <c r="P78"/>
    </row>
    <row r="79" spans="1:29" ht="14.4" x14ac:dyDescent="0.3">
      <c r="G79"/>
      <c r="H79"/>
      <c r="I79"/>
      <c r="J79"/>
      <c r="K79"/>
      <c r="L79"/>
      <c r="M79"/>
      <c r="N79"/>
      <c r="O79"/>
      <c r="P79"/>
    </row>
    <row r="80" spans="1:29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1CA65D41-F4F5-4C0D-858B-62D256F268B1}">
      <formula1>"No Smelt Catch, Longfin Smelt, Delta Smelt"</formula1>
    </dataValidation>
    <dataValidation type="list" allowBlank="1" showInputMessage="1" showErrorMessage="1" sqref="K3:K61" xr:uid="{E0F1891C-808D-4084-8C02-18F14F1F4510}">
      <formula1>"Completed, Preliminary "</formula1>
    </dataValidation>
    <dataValidation type="list" allowBlank="1" showInputMessage="1" showErrorMessage="1" sqref="H3:H61" xr:uid="{2D65C27B-A73D-45B1-92F1-B7BBFC4D5217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workbookViewId="0">
      <selection sqref="A1:K1"/>
    </sheetView>
  </sheetViews>
  <sheetFormatPr defaultRowHeight="14.4" x14ac:dyDescent="0.3"/>
  <sheetData>
    <row r="1" spans="1:14" ht="24.6" x14ac:dyDescent="0.4">
      <c r="A1" s="356" t="s">
        <v>37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</row>
    <row r="2" spans="1:14" x14ac:dyDescent="0.3">
      <c r="N2" s="344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 12</vt:lpstr>
      <vt:lpstr>Survey 13 </vt:lpstr>
      <vt:lpstr>Survey 1</vt:lpstr>
      <vt:lpstr>Survey 2</vt:lpstr>
      <vt:lpstr>Survey 3</vt:lpstr>
      <vt:lpstr>Survey 4 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McCormick, Lillian R</cp:lastModifiedBy>
  <cp:lastPrinted>2025-02-25T19:01:29Z</cp:lastPrinted>
  <dcterms:created xsi:type="dcterms:W3CDTF">2022-01-20T21:02:50Z</dcterms:created>
  <dcterms:modified xsi:type="dcterms:W3CDTF">2026-02-24T19:08:58Z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