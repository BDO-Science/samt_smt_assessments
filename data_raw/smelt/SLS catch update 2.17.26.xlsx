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samt_smt_assessments/data_raw/smelt/"/>
    </mc:Choice>
  </mc:AlternateContent>
  <xr:revisionPtr revIDLastSave="4" documentId="13_ncr:1_{51BFC2BB-8F4E-48F3-B482-92BC2CFC879A}" xr6:coauthVersionLast="47" xr6:coauthVersionMax="47" xr10:uidLastSave="{49649791-E91B-460B-8F0F-5AA52385A263}"/>
  <bookViews>
    <workbookView xWindow="-16728" yWindow="-16572" windowWidth="24684" windowHeight="14304" xr2:uid="{E318DA66-929E-4160-AE8F-A3EAE62CC340}"/>
  </bookViews>
  <sheets>
    <sheet name="Survey 12" sheetId="10" r:id="rId1"/>
    <sheet name="Survey 13" sheetId="12" r:id="rId2"/>
    <sheet name="Survey 1" sheetId="19" r:id="rId3"/>
    <sheet name="Survey 2" sheetId="20" r:id="rId4"/>
    <sheet name="Survey 3" sheetId="21" r:id="rId5"/>
    <sheet name="Survey 4" sheetId="22" r:id="rId6"/>
    <sheet name="SLS Map" sheetId="1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2" l="1"/>
  <c r="B4" i="22" s="1"/>
  <c r="B5" i="22" s="1"/>
  <c r="B6" i="22" s="1"/>
  <c r="B7" i="22" s="1"/>
  <c r="B8" i="22" s="1"/>
  <c r="B9" i="22" s="1"/>
  <c r="B10" i="22" s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A3" i="22"/>
  <c r="A4" i="22" s="1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B3" i="19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B3" i="12" l="1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B3" i="10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</calcChain>
</file>

<file path=xl/sharedStrings.xml><?xml version="1.0" encoding="utf-8"?>
<sst xmlns="http://schemas.openxmlformats.org/spreadsheetml/2006/main" count="1071" uniqueCount="40">
  <si>
    <t>Year</t>
  </si>
  <si>
    <t>Survey #</t>
  </si>
  <si>
    <t>SLS Station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</si>
  <si>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</si>
  <si>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</si>
  <si>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</si>
  <si>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</si>
  <si>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</si>
  <si>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</si>
  <si>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</si>
  <si>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</si>
  <si>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</si>
  <si>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</si>
  <si>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</si>
  <si>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 xml:space="preserve">SWP ITP </t>
  </si>
  <si>
    <t>Processed</t>
  </si>
  <si>
    <t>No Smelt Catch</t>
  </si>
  <si>
    <t>Completed</t>
  </si>
  <si>
    <t>Processing is complete through 12/8/2025</t>
  </si>
  <si>
    <t xml:space="preserve">Longfin Smelt </t>
  </si>
  <si>
    <t>CDFW’s 2026 Smelt Larva Survey station locations.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</si>
  <si>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</si>
  <si>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</si>
  <si>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</si>
  <si>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</si>
  <si>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</si>
  <si>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</si>
  <si>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Not Processed</t>
  </si>
  <si>
    <t>Not Sampled</t>
  </si>
  <si>
    <t>Longfin Smelt</t>
  </si>
  <si>
    <t>Processing is complete through 1/13/26</t>
  </si>
  <si>
    <t>*Reduced tow time (5 min)</t>
  </si>
  <si>
    <t>∆Reduced to time (2.5 min)</t>
  </si>
  <si>
    <t>≠ Dropped tow</t>
  </si>
  <si>
    <t>Processing is complete through 2/2/26</t>
  </si>
  <si>
    <t/>
  </si>
  <si>
    <t xml:space="preserve"> </t>
  </si>
  <si>
    <t>418*</t>
  </si>
  <si>
    <t>Processing is complete through 2/9/26</t>
  </si>
  <si>
    <t>Processing is complete through 2/17/26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</si>
</sst>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20"/>
      <color theme="1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medium">
        <color indexed="9"/>
      </top>
      <bottom/>
      <diagonal/>
    </border>
    <border>
      <left style="medium">
        <color indexed="64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99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1" fillId="5" borderId="6" xfId="1" applyFill="1" applyBorder="1" applyAlignment="1">
      <alignment horizontal="center"/>
    </xf>
    <xf numFmtId="0" fontId="1" fillId="5" borderId="7" xfId="1" applyFill="1" applyBorder="1" applyAlignment="1">
      <alignment horizontal="center"/>
    </xf>
    <xf numFmtId="0" fontId="1" fillId="5" borderId="7" xfId="1" applyFill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0" fillId="5" borderId="0" xfId="0" applyFill="1"/>
    <xf numFmtId="0" fontId="1" fillId="5" borderId="2" xfId="1" applyFill="1" applyBorder="1"/>
    <xf numFmtId="0" fontId="1" fillId="5" borderId="13" xfId="1" applyFill="1" applyBorder="1" applyAlignment="1">
      <alignment horizontal="center"/>
    </xf>
    <xf numFmtId="14" fontId="1" fillId="0" borderId="3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/>
    </xf>
    <xf numFmtId="1" fontId="1" fillId="5" borderId="5" xfId="1" applyNumberFormat="1" applyFill="1" applyBorder="1" applyAlignment="1">
      <alignment horizontal="center"/>
    </xf>
    <xf numFmtId="0" fontId="2" fillId="0" borderId="0" xfId="0" applyFont="1"/>
    <xf numFmtId="1" fontId="3" fillId="0" borderId="8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0" fontId="1" fillId="5" borderId="0" xfId="1" applyFill="1" applyAlignment="1">
      <alignment horizontal="center"/>
    </xf>
    <xf numFmtId="164" fontId="1" fillId="0" borderId="18" xfId="0" applyNumberFormat="1" applyFont="1" applyBorder="1" applyAlignment="1">
      <alignment horizontal="center" vertical="center" wrapText="1"/>
    </xf>
    <xf numFmtId="164" fontId="1" fillId="3" borderId="18" xfId="0" applyNumberFormat="1" applyFont="1" applyFill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3" borderId="9" xfId="0" applyNumberFormat="1" applyFont="1" applyFill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0" fontId="2" fillId="5" borderId="0" xfId="0" applyFont="1" applyFill="1"/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4" fontId="2" fillId="0" borderId="19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1" fillId="5" borderId="7" xfId="1" applyNumberFormat="1" applyFill="1" applyBorder="1" applyAlignment="1">
      <alignment horizontal="center"/>
    </xf>
    <xf numFmtId="164" fontId="1" fillId="5" borderId="0" xfId="1" applyNumberFormat="1" applyFill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 wrapText="1"/>
    </xf>
    <xf numFmtId="14" fontId="1" fillId="2" borderId="15" xfId="1" applyNumberFormat="1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/>
    </xf>
    <xf numFmtId="164" fontId="1" fillId="2" borderId="21" xfId="1" applyNumberFormat="1" applyFill="1" applyBorder="1" applyAlignment="1">
      <alignment horizontal="center" vertical="center" wrapText="1"/>
    </xf>
    <xf numFmtId="0" fontId="1" fillId="2" borderId="22" xfId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1" fontId="4" fillId="0" borderId="0" xfId="0" applyNumberFormat="1" applyFont="1"/>
    <xf numFmtId="0" fontId="2" fillId="2" borderId="20" xfId="1" applyFont="1" applyFill="1" applyBorder="1" applyAlignment="1">
      <alignment horizontal="center" vertical="center" wrapText="1"/>
    </xf>
    <xf numFmtId="164" fontId="2" fillId="5" borderId="0" xfId="0" applyNumberFormat="1" applyFont="1" applyFill="1"/>
    <xf numFmtId="14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" fontId="6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0" fillId="0" borderId="7" xfId="0" applyBorder="1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2" xfId="1" applyBorder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8" fillId="5" borderId="13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26" xfId="0" applyFont="1" applyFill="1" applyBorder="1"/>
    <xf numFmtId="0" fontId="8" fillId="5" borderId="0" xfId="0" applyFont="1" applyFill="1"/>
    <xf numFmtId="0" fontId="2" fillId="8" borderId="4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14" fontId="1" fillId="8" borderId="3" xfId="0" applyNumberFormat="1" applyFont="1" applyFill="1" applyBorder="1" applyAlignment="1">
      <alignment horizontal="center" vertical="center" wrapText="1"/>
    </xf>
    <xf numFmtId="164" fontId="1" fillId="8" borderId="3" xfId="0" applyNumberFormat="1" applyFont="1" applyFill="1" applyBorder="1" applyAlignment="1">
      <alignment horizontal="center" vertical="center" wrapText="1"/>
    </xf>
    <xf numFmtId="1" fontId="1" fillId="8" borderId="3" xfId="0" applyNumberFormat="1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/>
    </xf>
    <xf numFmtId="164" fontId="1" fillId="8" borderId="18" xfId="0" applyNumberFormat="1" applyFont="1" applyFill="1" applyBorder="1" applyAlignment="1">
      <alignment horizontal="center" vertical="center" wrapText="1"/>
    </xf>
    <xf numFmtId="1" fontId="1" fillId="8" borderId="9" xfId="0" applyNumberFormat="1" applyFont="1" applyFill="1" applyBorder="1" applyAlignment="1">
      <alignment horizontal="center" vertical="center" wrapText="1"/>
    </xf>
    <xf numFmtId="1" fontId="3" fillId="8" borderId="3" xfId="0" applyNumberFormat="1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164" fontId="0" fillId="0" borderId="0" xfId="0" applyNumberFormat="1"/>
    <xf numFmtId="0" fontId="1" fillId="4" borderId="24" xfId="1" applyFill="1" applyBorder="1" applyAlignment="1">
      <alignment horizontal="center" vertical="center" wrapText="1"/>
    </xf>
    <xf numFmtId="0" fontId="1" fillId="4" borderId="25" xfId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2">
    <cellStyle name="Normal" xfId="0" builtinId="0"/>
    <cellStyle name="Normal_2010 SLS Survey 5 Smelt Catch as of 3-3" xfId="1" xr:uid="{266BAF3B-B141-4886-8C42-2102BE6AFE09}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8F8B08-9261-410F-9B5F-16BA88932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A0F3-2634-4DE9-9222-90D16DDA7992}">
  <sheetPr>
    <pageSetUpPr fitToPage="1"/>
  </sheetPr>
  <dimension ref="A1:P77"/>
  <sheetViews>
    <sheetView tabSelected="1" zoomScaleNormal="100" workbookViewId="0">
      <pane ySplit="1" topLeftCell="A56" activePane="bottomLeft" state="frozen"/>
      <selection pane="bottomLeft" activeCell="R67" sqref="R67"/>
    </sheetView>
  </sheetViews>
  <sheetFormatPr defaultRowHeight="15" customHeight="1" x14ac:dyDescent="0.3"/>
  <cols>
    <col min="1" max="2" width="6.44140625" style="22" customWidth="1"/>
    <col min="3" max="3" width="6.88671875" style="22" customWidth="1"/>
    <col min="4" max="4" width="10.109375" style="60" customWidth="1"/>
    <col min="5" max="5" width="8.44140625" style="22" customWidth="1"/>
    <col min="6" max="6" width="6.5546875" style="22" customWidth="1"/>
    <col min="7" max="7" width="13.5546875" style="22" customWidth="1"/>
    <col min="8" max="8" width="14.5546875" style="22" customWidth="1"/>
    <col min="9" max="9" width="6.88671875" style="22" customWidth="1"/>
    <col min="10" max="10" width="10.44140625" style="55" customWidth="1"/>
    <col min="11" max="12" width="6.44140625" style="22" customWidth="1"/>
    <col min="13" max="13" width="6.44140625" style="61" customWidth="1"/>
    <col min="14" max="14" width="9.88671875" style="22" customWidth="1"/>
    <col min="15" max="15" width="9.5546875" customWidth="1"/>
    <col min="16" max="16" width="2.5546875" customWidth="1"/>
  </cols>
  <sheetData>
    <row r="1" spans="1:16" ht="25.5" customHeight="1" thickBot="1" x14ac:dyDescent="0.35">
      <c r="A1" s="58" t="s">
        <v>0</v>
      </c>
      <c r="B1" s="46" t="s">
        <v>1</v>
      </c>
      <c r="C1" s="46" t="s">
        <v>2</v>
      </c>
      <c r="D1" s="47" t="s">
        <v>11</v>
      </c>
      <c r="E1" s="46" t="s">
        <v>13</v>
      </c>
      <c r="F1" s="46" t="s">
        <v>10</v>
      </c>
      <c r="G1" s="48" t="s">
        <v>3</v>
      </c>
      <c r="H1" s="46" t="s">
        <v>4</v>
      </c>
      <c r="I1" s="46" t="s">
        <v>5</v>
      </c>
      <c r="J1" s="46" t="s">
        <v>9</v>
      </c>
      <c r="K1" s="46" t="s">
        <v>6</v>
      </c>
      <c r="L1" s="46" t="s">
        <v>7</v>
      </c>
      <c r="M1" s="49" t="s">
        <v>8</v>
      </c>
      <c r="N1" s="50" t="s">
        <v>12</v>
      </c>
      <c r="O1" s="15"/>
      <c r="P1" s="14"/>
    </row>
    <row r="2" spans="1:16" ht="15" customHeight="1" thickBot="1" x14ac:dyDescent="0.35">
      <c r="A2" s="51">
        <v>2026</v>
      </c>
      <c r="B2" s="1">
        <v>12</v>
      </c>
      <c r="C2" s="9">
        <v>306</v>
      </c>
      <c r="D2" s="20">
        <v>45993</v>
      </c>
      <c r="E2" s="9">
        <v>6.5</v>
      </c>
      <c r="F2" s="12">
        <v>71</v>
      </c>
      <c r="G2" s="36" t="s">
        <v>15</v>
      </c>
      <c r="H2" s="8" t="s">
        <v>16</v>
      </c>
      <c r="I2" s="23"/>
      <c r="J2" s="8" t="s">
        <v>17</v>
      </c>
      <c r="K2" s="9"/>
      <c r="L2" s="9"/>
      <c r="M2" s="39"/>
      <c r="N2" s="33"/>
      <c r="O2" s="15"/>
      <c r="P2" s="14"/>
    </row>
    <row r="3" spans="1:16" ht="15" customHeight="1" thickBot="1" x14ac:dyDescent="0.35">
      <c r="A3" s="52">
        <f>A2</f>
        <v>2026</v>
      </c>
      <c r="B3" s="1">
        <f>B2</f>
        <v>12</v>
      </c>
      <c r="C3" s="8">
        <v>308</v>
      </c>
      <c r="D3" s="18">
        <v>45993</v>
      </c>
      <c r="E3" s="8">
        <v>13.4</v>
      </c>
      <c r="F3" s="13">
        <v>70</v>
      </c>
      <c r="G3" s="36" t="s">
        <v>15</v>
      </c>
      <c r="H3" s="8" t="s">
        <v>16</v>
      </c>
      <c r="I3" s="24"/>
      <c r="J3" s="8" t="s">
        <v>17</v>
      </c>
      <c r="K3" s="8"/>
      <c r="L3" s="8"/>
      <c r="M3" s="40"/>
      <c r="N3" s="30"/>
      <c r="O3" s="15"/>
      <c r="P3" s="14"/>
    </row>
    <row r="4" spans="1:16" ht="15" customHeight="1" thickBot="1" x14ac:dyDescent="0.35">
      <c r="A4" s="52">
        <f t="shared" ref="A4:A60" si="0">A3</f>
        <v>2026</v>
      </c>
      <c r="B4" s="1">
        <f>B3</f>
        <v>12</v>
      </c>
      <c r="C4" s="8">
        <v>311</v>
      </c>
      <c r="D4" s="18">
        <v>45993</v>
      </c>
      <c r="E4" s="8">
        <v>7.4</v>
      </c>
      <c r="F4" s="13">
        <v>80</v>
      </c>
      <c r="G4" s="36" t="s">
        <v>15</v>
      </c>
      <c r="H4" s="8" t="s">
        <v>16</v>
      </c>
      <c r="I4" s="24"/>
      <c r="J4" s="8" t="s">
        <v>17</v>
      </c>
      <c r="K4" s="8"/>
      <c r="L4" s="8"/>
      <c r="M4" s="40"/>
      <c r="N4" s="30"/>
      <c r="O4" s="15"/>
      <c r="P4" s="14"/>
    </row>
    <row r="5" spans="1:16" ht="15" customHeight="1" thickBot="1" x14ac:dyDescent="0.35">
      <c r="A5" s="52">
        <f t="shared" si="0"/>
        <v>2026</v>
      </c>
      <c r="B5" s="1">
        <f t="shared" ref="B5:B60" si="1">B4</f>
        <v>12</v>
      </c>
      <c r="C5" s="8">
        <v>315</v>
      </c>
      <c r="D5" s="20">
        <v>45993</v>
      </c>
      <c r="E5" s="9">
        <v>13.3</v>
      </c>
      <c r="F5" s="12">
        <v>47</v>
      </c>
      <c r="G5" s="36" t="s">
        <v>15</v>
      </c>
      <c r="H5" s="8" t="s">
        <v>16</v>
      </c>
      <c r="I5" s="23"/>
      <c r="J5" s="8" t="s">
        <v>17</v>
      </c>
      <c r="K5" s="9"/>
      <c r="L5" s="9"/>
      <c r="M5" s="41"/>
      <c r="N5" s="34"/>
      <c r="O5" s="15"/>
      <c r="P5" s="14"/>
    </row>
    <row r="6" spans="1:16" ht="15" customHeight="1" thickBot="1" x14ac:dyDescent="0.35">
      <c r="A6" s="52">
        <f t="shared" si="0"/>
        <v>2026</v>
      </c>
      <c r="B6" s="1">
        <f t="shared" si="1"/>
        <v>12</v>
      </c>
      <c r="C6" s="8">
        <v>322</v>
      </c>
      <c r="D6" s="18">
        <v>45993</v>
      </c>
      <c r="E6" s="8">
        <v>7.4</v>
      </c>
      <c r="F6" s="13">
        <v>70</v>
      </c>
      <c r="G6" s="36" t="s">
        <v>15</v>
      </c>
      <c r="H6" s="8" t="s">
        <v>16</v>
      </c>
      <c r="I6" s="24"/>
      <c r="J6" s="8" t="s">
        <v>17</v>
      </c>
      <c r="K6" s="8"/>
      <c r="L6" s="8"/>
      <c r="M6" s="40"/>
      <c r="N6" s="30"/>
      <c r="O6" s="15"/>
      <c r="P6" s="14"/>
    </row>
    <row r="7" spans="1:16" ht="15" customHeight="1" thickBot="1" x14ac:dyDescent="0.35">
      <c r="A7" s="52">
        <f t="shared" si="0"/>
        <v>2026</v>
      </c>
      <c r="B7" s="1">
        <f t="shared" si="1"/>
        <v>12</v>
      </c>
      <c r="C7" s="8">
        <v>323</v>
      </c>
      <c r="D7" s="18">
        <v>45993</v>
      </c>
      <c r="E7" s="8">
        <v>6.6</v>
      </c>
      <c r="F7" s="13">
        <v>80</v>
      </c>
      <c r="G7" s="36" t="s">
        <v>15</v>
      </c>
      <c r="H7" s="8" t="s">
        <v>16</v>
      </c>
      <c r="I7" s="24"/>
      <c r="J7" s="8" t="s">
        <v>17</v>
      </c>
      <c r="K7" s="8"/>
      <c r="L7" s="8"/>
      <c r="M7" s="40"/>
      <c r="N7" s="30"/>
      <c r="O7" s="15"/>
      <c r="P7" s="14"/>
    </row>
    <row r="8" spans="1:16" ht="15" customHeight="1" thickBot="1" x14ac:dyDescent="0.35">
      <c r="A8" s="52">
        <f t="shared" si="0"/>
        <v>2026</v>
      </c>
      <c r="B8" s="1">
        <f t="shared" si="1"/>
        <v>12</v>
      </c>
      <c r="C8" s="8">
        <v>327</v>
      </c>
      <c r="D8" s="18">
        <v>45993</v>
      </c>
      <c r="E8" s="8">
        <v>14</v>
      </c>
      <c r="F8" s="13">
        <v>50</v>
      </c>
      <c r="G8" s="36" t="s">
        <v>15</v>
      </c>
      <c r="H8" s="8" t="s">
        <v>16</v>
      </c>
      <c r="I8" s="24"/>
      <c r="J8" s="8" t="s">
        <v>17</v>
      </c>
      <c r="K8" s="8"/>
      <c r="L8" s="8"/>
      <c r="M8" s="40"/>
      <c r="N8" s="30"/>
      <c r="O8" s="15"/>
      <c r="P8" s="14"/>
    </row>
    <row r="9" spans="1:16" ht="15" customHeight="1" thickBot="1" x14ac:dyDescent="0.35">
      <c r="A9" s="52">
        <f t="shared" si="0"/>
        <v>2026</v>
      </c>
      <c r="B9" s="1">
        <f t="shared" si="1"/>
        <v>12</v>
      </c>
      <c r="C9" s="8">
        <v>328</v>
      </c>
      <c r="D9" s="18">
        <v>45993</v>
      </c>
      <c r="E9" s="8">
        <v>17.7</v>
      </c>
      <c r="F9" s="13">
        <v>40</v>
      </c>
      <c r="G9" s="36" t="s">
        <v>15</v>
      </c>
      <c r="H9" s="8" t="s">
        <v>16</v>
      </c>
      <c r="I9" s="24"/>
      <c r="J9" s="8" t="s">
        <v>17</v>
      </c>
      <c r="K9" s="8"/>
      <c r="L9" s="8"/>
      <c r="M9" s="40"/>
      <c r="N9" s="30"/>
      <c r="O9" s="15"/>
      <c r="P9" s="14"/>
    </row>
    <row r="10" spans="1:16" ht="15" customHeight="1" thickBot="1" x14ac:dyDescent="0.35">
      <c r="A10" s="52">
        <f t="shared" si="0"/>
        <v>2026</v>
      </c>
      <c r="B10" s="1">
        <f t="shared" si="1"/>
        <v>12</v>
      </c>
      <c r="C10" s="8">
        <v>329</v>
      </c>
      <c r="D10" s="18">
        <v>45993</v>
      </c>
      <c r="E10" s="8">
        <v>4.3</v>
      </c>
      <c r="F10" s="13">
        <v>80</v>
      </c>
      <c r="G10" s="36" t="s">
        <v>15</v>
      </c>
      <c r="H10" s="8" t="s">
        <v>16</v>
      </c>
      <c r="I10" s="24"/>
      <c r="J10" s="8" t="s">
        <v>17</v>
      </c>
      <c r="K10" s="8"/>
      <c r="L10" s="8"/>
      <c r="M10" s="40"/>
      <c r="N10" s="30"/>
      <c r="O10" s="15"/>
      <c r="P10" s="14"/>
    </row>
    <row r="11" spans="1:16" ht="15" customHeight="1" thickBot="1" x14ac:dyDescent="0.35">
      <c r="A11" s="52">
        <f t="shared" si="0"/>
        <v>2026</v>
      </c>
      <c r="B11" s="1">
        <f t="shared" si="1"/>
        <v>12</v>
      </c>
      <c r="C11" s="8">
        <v>330</v>
      </c>
      <c r="D11" s="18">
        <v>45993</v>
      </c>
      <c r="E11" s="8">
        <v>8.6</v>
      </c>
      <c r="F11" s="13">
        <v>62</v>
      </c>
      <c r="G11" s="36" t="s">
        <v>15</v>
      </c>
      <c r="H11" s="8" t="s">
        <v>16</v>
      </c>
      <c r="I11" s="24"/>
      <c r="J11" s="8" t="s">
        <v>17</v>
      </c>
      <c r="K11" s="8"/>
      <c r="L11" s="8"/>
      <c r="M11" s="40"/>
      <c r="N11" s="30"/>
      <c r="O11" s="15"/>
      <c r="P11" s="14"/>
    </row>
    <row r="12" spans="1:16" ht="15" customHeight="1" thickBot="1" x14ac:dyDescent="0.35">
      <c r="A12" s="52">
        <f t="shared" si="0"/>
        <v>2026</v>
      </c>
      <c r="B12" s="1">
        <f t="shared" si="1"/>
        <v>12</v>
      </c>
      <c r="C12" s="8">
        <v>335</v>
      </c>
      <c r="D12" s="20">
        <v>45993</v>
      </c>
      <c r="E12" s="9">
        <v>3.7</v>
      </c>
      <c r="F12" s="12">
        <v>110</v>
      </c>
      <c r="G12" s="36" t="s">
        <v>15</v>
      </c>
      <c r="H12" s="9" t="s">
        <v>16</v>
      </c>
      <c r="I12" s="23"/>
      <c r="J12" s="9" t="s">
        <v>17</v>
      </c>
      <c r="K12" s="9"/>
      <c r="L12" s="9"/>
      <c r="M12" s="41"/>
      <c r="N12" s="34"/>
      <c r="O12" s="15"/>
      <c r="P12" s="14"/>
    </row>
    <row r="13" spans="1:16" ht="15" customHeight="1" thickBot="1" x14ac:dyDescent="0.35">
      <c r="A13" s="52">
        <f t="shared" si="0"/>
        <v>2026</v>
      </c>
      <c r="B13" s="1">
        <f t="shared" si="1"/>
        <v>12</v>
      </c>
      <c r="C13" s="8">
        <v>336</v>
      </c>
      <c r="D13" s="18">
        <v>45993</v>
      </c>
      <c r="E13" s="8">
        <v>6.2</v>
      </c>
      <c r="F13" s="13">
        <v>70</v>
      </c>
      <c r="G13" s="36" t="s">
        <v>15</v>
      </c>
      <c r="H13" s="8" t="s">
        <v>16</v>
      </c>
      <c r="I13" s="24"/>
      <c r="J13" s="8" t="s">
        <v>17</v>
      </c>
      <c r="K13" s="8"/>
      <c r="L13" s="8"/>
      <c r="M13" s="40"/>
      <c r="N13" s="30"/>
      <c r="O13" s="15"/>
      <c r="P13" s="14"/>
    </row>
    <row r="14" spans="1:16" ht="15" customHeight="1" thickBot="1" x14ac:dyDescent="0.35">
      <c r="A14" s="52">
        <f t="shared" si="0"/>
        <v>2026</v>
      </c>
      <c r="B14" s="1">
        <f t="shared" si="1"/>
        <v>12</v>
      </c>
      <c r="C14" s="8">
        <v>338</v>
      </c>
      <c r="D14" s="18">
        <v>45992</v>
      </c>
      <c r="E14" s="8">
        <v>10.5</v>
      </c>
      <c r="F14" s="13">
        <v>56</v>
      </c>
      <c r="G14" s="36" t="s">
        <v>15</v>
      </c>
      <c r="H14" s="8" t="s">
        <v>16</v>
      </c>
      <c r="I14" s="24"/>
      <c r="J14" s="8" t="s">
        <v>17</v>
      </c>
      <c r="K14" s="8"/>
      <c r="L14" s="8"/>
      <c r="M14" s="40"/>
      <c r="N14" s="30"/>
      <c r="O14" s="15"/>
      <c r="P14" s="14"/>
    </row>
    <row r="15" spans="1:16" ht="15" customHeight="1" thickBot="1" x14ac:dyDescent="0.35">
      <c r="A15" s="52">
        <f t="shared" si="0"/>
        <v>2026</v>
      </c>
      <c r="B15" s="1">
        <f t="shared" si="1"/>
        <v>12</v>
      </c>
      <c r="C15" s="1">
        <v>340</v>
      </c>
      <c r="D15" s="17">
        <v>45992</v>
      </c>
      <c r="E15" s="8">
        <v>17.600000000000001</v>
      </c>
      <c r="F15" s="13">
        <v>50</v>
      </c>
      <c r="G15" s="36" t="s">
        <v>15</v>
      </c>
      <c r="H15" s="8" t="s">
        <v>16</v>
      </c>
      <c r="I15" s="24"/>
      <c r="J15" s="8" t="s">
        <v>17</v>
      </c>
      <c r="K15" s="8"/>
      <c r="L15" s="8"/>
      <c r="M15" s="40"/>
      <c r="N15" s="30"/>
      <c r="O15" s="15"/>
      <c r="P15" s="14"/>
    </row>
    <row r="16" spans="1:16" ht="15" customHeight="1" thickBot="1" x14ac:dyDescent="0.35">
      <c r="A16" s="52">
        <f t="shared" si="0"/>
        <v>2026</v>
      </c>
      <c r="B16" s="1">
        <f t="shared" si="1"/>
        <v>12</v>
      </c>
      <c r="C16" s="1">
        <v>342</v>
      </c>
      <c r="D16" s="17">
        <v>45992</v>
      </c>
      <c r="E16" s="2">
        <v>13.5</v>
      </c>
      <c r="F16" s="10">
        <v>56</v>
      </c>
      <c r="G16" s="36" t="s">
        <v>15</v>
      </c>
      <c r="H16" s="1" t="s">
        <v>16</v>
      </c>
      <c r="I16" s="25"/>
      <c r="J16" s="8" t="s">
        <v>17</v>
      </c>
      <c r="K16" s="1"/>
      <c r="L16" s="1"/>
      <c r="M16" s="28"/>
      <c r="N16" s="31"/>
      <c r="O16" s="15"/>
      <c r="P16" s="14"/>
    </row>
    <row r="17" spans="1:16" ht="15" customHeight="1" thickBot="1" x14ac:dyDescent="0.35">
      <c r="A17" s="52">
        <f t="shared" si="0"/>
        <v>2026</v>
      </c>
      <c r="B17" s="1">
        <f t="shared" si="1"/>
        <v>12</v>
      </c>
      <c r="C17" s="1">
        <v>343</v>
      </c>
      <c r="D17" s="17">
        <v>45992</v>
      </c>
      <c r="E17" s="2">
        <v>11.4</v>
      </c>
      <c r="F17" s="10">
        <v>65</v>
      </c>
      <c r="G17" s="36" t="s">
        <v>15</v>
      </c>
      <c r="H17" s="1" t="s">
        <v>16</v>
      </c>
      <c r="I17" s="25"/>
      <c r="J17" s="8" t="s">
        <v>17</v>
      </c>
      <c r="K17" s="1"/>
      <c r="L17" s="1"/>
      <c r="M17" s="28"/>
      <c r="N17" s="31"/>
      <c r="O17" s="15"/>
      <c r="P17" s="14"/>
    </row>
    <row r="18" spans="1:16" ht="15" customHeight="1" thickBot="1" x14ac:dyDescent="0.35">
      <c r="A18" s="52">
        <f t="shared" si="0"/>
        <v>2026</v>
      </c>
      <c r="B18" s="1">
        <f t="shared" si="1"/>
        <v>12</v>
      </c>
      <c r="C18" s="1">
        <v>344</v>
      </c>
      <c r="D18" s="17">
        <v>45992</v>
      </c>
      <c r="E18" s="2">
        <v>9.6</v>
      </c>
      <c r="F18" s="10">
        <v>57</v>
      </c>
      <c r="G18" s="36" t="s">
        <v>15</v>
      </c>
      <c r="H18" s="1" t="s">
        <v>16</v>
      </c>
      <c r="I18" s="25"/>
      <c r="J18" s="8" t="s">
        <v>17</v>
      </c>
      <c r="K18" s="1"/>
      <c r="L18" s="1"/>
      <c r="M18" s="28"/>
      <c r="N18" s="31"/>
      <c r="O18" s="15"/>
      <c r="P18" s="14"/>
    </row>
    <row r="19" spans="1:16" ht="15" customHeight="1" thickBot="1" x14ac:dyDescent="0.35">
      <c r="A19" s="52">
        <f t="shared" si="0"/>
        <v>2026</v>
      </c>
      <c r="B19" s="1">
        <f t="shared" si="1"/>
        <v>12</v>
      </c>
      <c r="C19" s="1">
        <v>345</v>
      </c>
      <c r="D19" s="17">
        <v>45992</v>
      </c>
      <c r="E19" s="2">
        <v>8.4</v>
      </c>
      <c r="F19" s="10">
        <v>74</v>
      </c>
      <c r="G19" s="36" t="s">
        <v>15</v>
      </c>
      <c r="H19" s="1" t="s">
        <v>16</v>
      </c>
      <c r="I19" s="25"/>
      <c r="J19" s="8" t="s">
        <v>17</v>
      </c>
      <c r="K19" s="1"/>
      <c r="L19" s="1"/>
      <c r="M19" s="28"/>
      <c r="N19" s="31"/>
      <c r="O19" s="15"/>
      <c r="P19" s="14"/>
    </row>
    <row r="20" spans="1:16" ht="15" customHeight="1" thickBot="1" x14ac:dyDescent="0.35">
      <c r="A20" s="52">
        <f t="shared" si="0"/>
        <v>2026</v>
      </c>
      <c r="B20" s="1">
        <f t="shared" si="1"/>
        <v>12</v>
      </c>
      <c r="C20" s="1">
        <v>346</v>
      </c>
      <c r="D20" s="17">
        <v>45992</v>
      </c>
      <c r="E20" s="2">
        <v>4.9000000000000004</v>
      </c>
      <c r="F20" s="10">
        <v>83</v>
      </c>
      <c r="G20" s="36" t="s">
        <v>15</v>
      </c>
      <c r="H20" s="1" t="s">
        <v>16</v>
      </c>
      <c r="I20" s="25"/>
      <c r="J20" s="8" t="s">
        <v>17</v>
      </c>
      <c r="K20" s="1"/>
      <c r="L20" s="1"/>
      <c r="M20" s="28"/>
      <c r="N20" s="31"/>
      <c r="O20" s="15"/>
      <c r="P20" s="14"/>
    </row>
    <row r="21" spans="1:16" ht="15" customHeight="1" thickBot="1" x14ac:dyDescent="0.35">
      <c r="A21" s="52">
        <f t="shared" si="0"/>
        <v>2026</v>
      </c>
      <c r="B21" s="1">
        <f t="shared" si="1"/>
        <v>12</v>
      </c>
      <c r="C21" s="1">
        <v>347</v>
      </c>
      <c r="D21" s="17">
        <v>45992</v>
      </c>
      <c r="E21" s="2">
        <v>6.1</v>
      </c>
      <c r="F21" s="10">
        <v>140</v>
      </c>
      <c r="G21" s="36" t="s">
        <v>15</v>
      </c>
      <c r="H21" s="1" t="s">
        <v>16</v>
      </c>
      <c r="I21" s="25"/>
      <c r="J21" s="8" t="s">
        <v>17</v>
      </c>
      <c r="K21" s="1"/>
      <c r="L21" s="1"/>
      <c r="M21" s="28"/>
      <c r="N21" s="31"/>
      <c r="O21" s="15"/>
      <c r="P21" s="14"/>
    </row>
    <row r="22" spans="1:16" ht="15" customHeight="1" thickBot="1" x14ac:dyDescent="0.35">
      <c r="A22" s="52">
        <f t="shared" si="0"/>
        <v>2026</v>
      </c>
      <c r="B22" s="1">
        <f t="shared" si="1"/>
        <v>12</v>
      </c>
      <c r="C22" s="1">
        <v>348</v>
      </c>
      <c r="D22" s="17">
        <v>45992</v>
      </c>
      <c r="E22" s="2">
        <v>2.9</v>
      </c>
      <c r="F22" s="10">
        <v>124</v>
      </c>
      <c r="G22" s="36" t="s">
        <v>15</v>
      </c>
      <c r="H22" s="1" t="s">
        <v>16</v>
      </c>
      <c r="I22" s="25"/>
      <c r="J22" s="8" t="s">
        <v>17</v>
      </c>
      <c r="K22" s="1"/>
      <c r="L22" s="1"/>
      <c r="M22" s="28"/>
      <c r="N22" s="31"/>
      <c r="O22" s="15"/>
      <c r="P22" s="14"/>
    </row>
    <row r="23" spans="1:16" ht="15" customHeight="1" thickBot="1" x14ac:dyDescent="0.35">
      <c r="A23" s="52">
        <f t="shared" si="0"/>
        <v>2026</v>
      </c>
      <c r="B23" s="1">
        <f t="shared" si="1"/>
        <v>12</v>
      </c>
      <c r="C23" s="1">
        <v>349</v>
      </c>
      <c r="D23" s="17">
        <v>45992</v>
      </c>
      <c r="E23" s="2">
        <v>3.7</v>
      </c>
      <c r="F23" s="10">
        <v>120</v>
      </c>
      <c r="G23" s="36" t="s">
        <v>15</v>
      </c>
      <c r="H23" s="1" t="s">
        <v>16</v>
      </c>
      <c r="I23" s="25"/>
      <c r="J23" s="1" t="s">
        <v>17</v>
      </c>
      <c r="K23" s="1"/>
      <c r="L23" s="1"/>
      <c r="M23" s="28"/>
      <c r="N23" s="31"/>
      <c r="O23" s="15"/>
      <c r="P23" s="14"/>
    </row>
    <row r="24" spans="1:16" ht="15" customHeight="1" thickBot="1" x14ac:dyDescent="0.35">
      <c r="A24" s="52">
        <f t="shared" si="0"/>
        <v>2026</v>
      </c>
      <c r="B24" s="1">
        <f t="shared" si="1"/>
        <v>12</v>
      </c>
      <c r="C24" s="1">
        <v>401</v>
      </c>
      <c r="D24" s="53">
        <v>45992</v>
      </c>
      <c r="E24" s="2">
        <v>10.8</v>
      </c>
      <c r="F24" s="10">
        <v>86</v>
      </c>
      <c r="G24" s="36" t="s">
        <v>15</v>
      </c>
      <c r="H24" s="1" t="s">
        <v>16</v>
      </c>
      <c r="I24" s="25"/>
      <c r="J24" s="8" t="s">
        <v>17</v>
      </c>
      <c r="K24" s="1"/>
      <c r="L24" s="1"/>
      <c r="M24" s="28"/>
      <c r="N24" s="31"/>
      <c r="O24" s="15"/>
      <c r="P24" s="14"/>
    </row>
    <row r="25" spans="1:16" ht="15" customHeight="1" thickBot="1" x14ac:dyDescent="0.35">
      <c r="A25" s="52">
        <f t="shared" si="0"/>
        <v>2026</v>
      </c>
      <c r="B25" s="1">
        <f t="shared" si="1"/>
        <v>12</v>
      </c>
      <c r="C25" s="8">
        <v>404</v>
      </c>
      <c r="D25" s="18">
        <v>45993</v>
      </c>
      <c r="E25" s="2">
        <v>10.9</v>
      </c>
      <c r="F25" s="10">
        <v>70</v>
      </c>
      <c r="G25" s="36" t="s">
        <v>15</v>
      </c>
      <c r="H25" s="1" t="s">
        <v>16</v>
      </c>
      <c r="I25" s="25"/>
      <c r="J25" s="8" t="s">
        <v>17</v>
      </c>
      <c r="K25" s="1"/>
      <c r="L25" s="1"/>
      <c r="M25" s="28"/>
      <c r="N25" s="31"/>
      <c r="O25" s="15"/>
      <c r="P25" s="14"/>
    </row>
    <row r="26" spans="1:16" ht="15" customHeight="1" thickBot="1" x14ac:dyDescent="0.35">
      <c r="A26" s="52">
        <f t="shared" si="0"/>
        <v>2026</v>
      </c>
      <c r="B26" s="1">
        <f t="shared" si="1"/>
        <v>12</v>
      </c>
      <c r="C26" s="1">
        <v>405</v>
      </c>
      <c r="D26" s="17">
        <v>45993</v>
      </c>
      <c r="E26" s="2">
        <v>10.3</v>
      </c>
      <c r="F26" s="10">
        <v>57</v>
      </c>
      <c r="G26" s="36" t="s">
        <v>15</v>
      </c>
      <c r="H26" s="1" t="s">
        <v>16</v>
      </c>
      <c r="I26" s="25"/>
      <c r="J26" s="1" t="s">
        <v>17</v>
      </c>
      <c r="K26" s="1"/>
      <c r="L26" s="1"/>
      <c r="M26" s="28"/>
      <c r="N26" s="31"/>
      <c r="O26" s="15"/>
      <c r="P26" s="14"/>
    </row>
    <row r="27" spans="1:16" ht="15" customHeight="1" thickBot="1" x14ac:dyDescent="0.35">
      <c r="A27" s="52">
        <f t="shared" si="0"/>
        <v>2026</v>
      </c>
      <c r="B27" s="1">
        <f t="shared" si="1"/>
        <v>12</v>
      </c>
      <c r="C27" s="1">
        <v>411</v>
      </c>
      <c r="D27" s="17">
        <v>45994</v>
      </c>
      <c r="E27" s="2">
        <v>14.7</v>
      </c>
      <c r="F27" s="10">
        <v>55</v>
      </c>
      <c r="G27" s="36" t="s">
        <v>15</v>
      </c>
      <c r="H27" s="1" t="s">
        <v>16</v>
      </c>
      <c r="I27" s="25"/>
      <c r="J27" s="1" t="s">
        <v>17</v>
      </c>
      <c r="K27" s="1"/>
      <c r="L27" s="1"/>
      <c r="M27" s="28"/>
      <c r="N27" s="31"/>
      <c r="O27" s="15"/>
      <c r="P27" s="14"/>
    </row>
    <row r="28" spans="1:16" ht="15" customHeight="1" thickBot="1" x14ac:dyDescent="0.35">
      <c r="A28" s="52">
        <f t="shared" si="0"/>
        <v>2026</v>
      </c>
      <c r="B28" s="1">
        <f t="shared" si="1"/>
        <v>12</v>
      </c>
      <c r="C28" s="1">
        <v>418</v>
      </c>
      <c r="D28" s="17">
        <v>45994</v>
      </c>
      <c r="E28" s="2">
        <v>13.2</v>
      </c>
      <c r="F28" s="10">
        <v>73</v>
      </c>
      <c r="G28" s="36" t="s">
        <v>15</v>
      </c>
      <c r="H28" s="1" t="s">
        <v>16</v>
      </c>
      <c r="I28" s="25"/>
      <c r="J28" s="1" t="s">
        <v>17</v>
      </c>
      <c r="K28" s="1"/>
      <c r="L28" s="1"/>
      <c r="M28" s="28"/>
      <c r="N28" s="31"/>
      <c r="O28" s="15"/>
      <c r="P28" s="14"/>
    </row>
    <row r="29" spans="1:16" ht="15" customHeight="1" thickBot="1" x14ac:dyDescent="0.35">
      <c r="A29" s="52">
        <f t="shared" si="0"/>
        <v>2026</v>
      </c>
      <c r="B29" s="1">
        <f t="shared" si="1"/>
        <v>12</v>
      </c>
      <c r="C29" s="1">
        <v>501</v>
      </c>
      <c r="D29" s="17">
        <v>45994</v>
      </c>
      <c r="E29" s="2">
        <v>15.1</v>
      </c>
      <c r="F29" s="10">
        <v>43</v>
      </c>
      <c r="G29" s="36" t="s">
        <v>15</v>
      </c>
      <c r="H29" s="1" t="s">
        <v>16</v>
      </c>
      <c r="I29" s="25"/>
      <c r="J29" s="1" t="s">
        <v>17</v>
      </c>
      <c r="K29" s="1"/>
      <c r="L29" s="1"/>
      <c r="M29" s="28"/>
      <c r="N29" s="31"/>
      <c r="O29" s="15"/>
      <c r="P29" s="14"/>
    </row>
    <row r="30" spans="1:16" ht="15" customHeight="1" thickBot="1" x14ac:dyDescent="0.35">
      <c r="A30" s="52">
        <f t="shared" si="0"/>
        <v>2026</v>
      </c>
      <c r="B30" s="1">
        <f t="shared" si="1"/>
        <v>12</v>
      </c>
      <c r="C30" s="1">
        <v>504</v>
      </c>
      <c r="D30" s="17">
        <v>45993</v>
      </c>
      <c r="E30" s="2">
        <v>17.399999999999999</v>
      </c>
      <c r="F30" s="10">
        <v>52</v>
      </c>
      <c r="G30" s="36" t="s">
        <v>15</v>
      </c>
      <c r="H30" s="1" t="s">
        <v>16</v>
      </c>
      <c r="I30" s="25"/>
      <c r="J30" s="1" t="s">
        <v>17</v>
      </c>
      <c r="K30" s="1"/>
      <c r="L30" s="1"/>
      <c r="M30" s="28"/>
      <c r="N30" s="31"/>
      <c r="O30" s="15"/>
      <c r="P30" s="14"/>
    </row>
    <row r="31" spans="1:16" ht="15" customHeight="1" thickBot="1" x14ac:dyDescent="0.35">
      <c r="A31" s="52">
        <f t="shared" si="0"/>
        <v>2026</v>
      </c>
      <c r="B31" s="1">
        <f t="shared" si="1"/>
        <v>12</v>
      </c>
      <c r="C31" s="1">
        <v>508</v>
      </c>
      <c r="D31" s="17">
        <v>45994</v>
      </c>
      <c r="E31" s="2">
        <v>17.5</v>
      </c>
      <c r="F31" s="10">
        <v>45</v>
      </c>
      <c r="G31" s="36" t="s">
        <v>15</v>
      </c>
      <c r="H31" s="1" t="s">
        <v>16</v>
      </c>
      <c r="I31" s="38"/>
      <c r="J31" s="54" t="s">
        <v>17</v>
      </c>
      <c r="K31" s="1"/>
      <c r="L31" s="1"/>
      <c r="M31" s="2"/>
      <c r="N31" s="31"/>
      <c r="O31" s="15"/>
      <c r="P31" s="14"/>
    </row>
    <row r="32" spans="1:16" ht="15" customHeight="1" thickBot="1" x14ac:dyDescent="0.35">
      <c r="A32" s="52">
        <f t="shared" si="0"/>
        <v>2026</v>
      </c>
      <c r="B32" s="1">
        <f t="shared" si="1"/>
        <v>12</v>
      </c>
      <c r="C32" s="1">
        <v>513</v>
      </c>
      <c r="D32" s="17">
        <v>45994</v>
      </c>
      <c r="E32" s="2">
        <v>8.3000000000000007</v>
      </c>
      <c r="F32" s="10">
        <v>79</v>
      </c>
      <c r="G32" s="36" t="s">
        <v>15</v>
      </c>
      <c r="H32" s="1" t="s">
        <v>16</v>
      </c>
      <c r="I32" s="38"/>
      <c r="J32" s="55" t="s">
        <v>17</v>
      </c>
      <c r="K32" s="1"/>
      <c r="L32" s="1"/>
      <c r="M32" s="2"/>
      <c r="N32" s="31"/>
      <c r="O32" s="14"/>
      <c r="P32" s="14"/>
    </row>
    <row r="33" spans="1:16" ht="15" customHeight="1" thickBot="1" x14ac:dyDescent="0.35">
      <c r="A33" s="52">
        <f t="shared" si="0"/>
        <v>2026</v>
      </c>
      <c r="B33" s="1">
        <f t="shared" si="1"/>
        <v>12</v>
      </c>
      <c r="C33" s="1">
        <v>519</v>
      </c>
      <c r="D33" s="17">
        <v>45994</v>
      </c>
      <c r="E33" s="2">
        <v>20.3</v>
      </c>
      <c r="F33" s="10">
        <v>38</v>
      </c>
      <c r="G33" s="36" t="s">
        <v>15</v>
      </c>
      <c r="H33" s="1" t="s">
        <v>16</v>
      </c>
      <c r="I33" s="25"/>
      <c r="J33" s="1" t="s">
        <v>17</v>
      </c>
      <c r="K33" s="1"/>
      <c r="L33" s="1"/>
      <c r="M33" s="28"/>
      <c r="N33" s="31"/>
      <c r="O33" s="15"/>
      <c r="P33" s="14"/>
    </row>
    <row r="34" spans="1:16" ht="15" customHeight="1" thickBot="1" x14ac:dyDescent="0.35">
      <c r="A34" s="52">
        <f t="shared" si="0"/>
        <v>2026</v>
      </c>
      <c r="B34" s="1">
        <f t="shared" si="1"/>
        <v>12</v>
      </c>
      <c r="C34" s="1">
        <v>520</v>
      </c>
      <c r="D34" s="17">
        <v>45993</v>
      </c>
      <c r="E34" s="2">
        <v>11.3</v>
      </c>
      <c r="F34" s="10">
        <v>62</v>
      </c>
      <c r="G34" s="36" t="s">
        <v>15</v>
      </c>
      <c r="H34" s="1" t="s">
        <v>16</v>
      </c>
      <c r="I34" s="25"/>
      <c r="J34" s="1" t="s">
        <v>17</v>
      </c>
      <c r="K34" s="1"/>
      <c r="L34" s="1"/>
      <c r="M34" s="28"/>
      <c r="N34" s="31"/>
      <c r="O34" s="15"/>
      <c r="P34" s="14"/>
    </row>
    <row r="35" spans="1:16" ht="15" customHeight="1" thickBot="1" x14ac:dyDescent="0.35">
      <c r="A35" s="52">
        <f t="shared" si="0"/>
        <v>2026</v>
      </c>
      <c r="B35" s="1">
        <f t="shared" si="1"/>
        <v>12</v>
      </c>
      <c r="C35" s="1">
        <v>602</v>
      </c>
      <c r="D35" s="17">
        <v>45994</v>
      </c>
      <c r="E35" s="2">
        <v>41.1</v>
      </c>
      <c r="F35" s="10">
        <v>30</v>
      </c>
      <c r="G35" s="36" t="s">
        <v>15</v>
      </c>
      <c r="H35" s="1" t="s">
        <v>16</v>
      </c>
      <c r="I35" s="25"/>
      <c r="J35" s="1" t="s">
        <v>17</v>
      </c>
      <c r="K35" s="1"/>
      <c r="L35" s="1"/>
      <c r="M35" s="28"/>
      <c r="N35" s="31"/>
      <c r="O35" s="15"/>
      <c r="P35" s="14"/>
    </row>
    <row r="36" spans="1:16" ht="15" customHeight="1" x14ac:dyDescent="0.3">
      <c r="A36" s="52">
        <f t="shared" si="0"/>
        <v>2026</v>
      </c>
      <c r="B36" s="1">
        <f t="shared" si="1"/>
        <v>12</v>
      </c>
      <c r="C36" s="1">
        <v>606</v>
      </c>
      <c r="D36" s="17">
        <v>45994</v>
      </c>
      <c r="E36" s="2">
        <v>32</v>
      </c>
      <c r="F36" s="10">
        <v>28</v>
      </c>
      <c r="G36" s="36" t="s">
        <v>15</v>
      </c>
      <c r="H36" s="1" t="s">
        <v>16</v>
      </c>
      <c r="I36" s="25"/>
      <c r="J36" s="1" t="s">
        <v>17</v>
      </c>
      <c r="K36" s="1"/>
      <c r="L36" s="1"/>
      <c r="M36" s="28"/>
      <c r="N36" s="31"/>
      <c r="O36" s="14"/>
      <c r="P36" s="14"/>
    </row>
    <row r="37" spans="1:16" ht="15" customHeight="1" x14ac:dyDescent="0.3">
      <c r="A37" s="52">
        <f t="shared" si="0"/>
        <v>2026</v>
      </c>
      <c r="B37" s="1">
        <f t="shared" si="1"/>
        <v>12</v>
      </c>
      <c r="C37" s="1">
        <v>609</v>
      </c>
      <c r="D37" s="17">
        <v>45994</v>
      </c>
      <c r="E37" s="2">
        <v>38.799999999999997</v>
      </c>
      <c r="F37" s="10">
        <v>25</v>
      </c>
      <c r="G37" s="36" t="s">
        <v>15</v>
      </c>
      <c r="H37" s="1" t="s">
        <v>16</v>
      </c>
      <c r="I37" s="38"/>
      <c r="J37" s="1" t="s">
        <v>17</v>
      </c>
      <c r="K37" s="1"/>
      <c r="L37" s="1"/>
      <c r="M37" s="28"/>
      <c r="N37" s="31"/>
      <c r="O37" s="14"/>
      <c r="P37" s="14"/>
    </row>
    <row r="38" spans="1:16" ht="15" customHeight="1" x14ac:dyDescent="0.3">
      <c r="A38" s="52">
        <f t="shared" si="0"/>
        <v>2026</v>
      </c>
      <c r="B38" s="1">
        <f t="shared" si="1"/>
        <v>12</v>
      </c>
      <c r="C38" s="1">
        <v>610</v>
      </c>
      <c r="D38" s="17">
        <v>45994</v>
      </c>
      <c r="E38" s="2">
        <v>13.9</v>
      </c>
      <c r="F38" s="10">
        <v>45</v>
      </c>
      <c r="G38" s="36" t="s">
        <v>15</v>
      </c>
      <c r="H38" s="1" t="s">
        <v>16</v>
      </c>
      <c r="I38" s="38"/>
      <c r="J38" s="1" t="s">
        <v>17</v>
      </c>
      <c r="K38" s="1"/>
      <c r="L38" s="1"/>
      <c r="M38" s="28"/>
      <c r="N38" s="31"/>
      <c r="O38" s="14"/>
      <c r="P38" s="14"/>
    </row>
    <row r="39" spans="1:16" ht="15" customHeight="1" x14ac:dyDescent="0.3">
      <c r="A39" s="52">
        <f t="shared" si="0"/>
        <v>2026</v>
      </c>
      <c r="B39" s="1">
        <f t="shared" si="1"/>
        <v>12</v>
      </c>
      <c r="C39" s="1">
        <v>703</v>
      </c>
      <c r="D39" s="17">
        <v>45993</v>
      </c>
      <c r="E39" s="2">
        <v>7.9</v>
      </c>
      <c r="F39" s="10">
        <v>56</v>
      </c>
      <c r="G39" s="36" t="s">
        <v>15</v>
      </c>
      <c r="H39" s="1" t="s">
        <v>16</v>
      </c>
      <c r="I39" s="25"/>
      <c r="J39" s="1" t="s">
        <v>17</v>
      </c>
      <c r="K39" s="1"/>
      <c r="L39" s="1"/>
      <c r="M39" s="28"/>
      <c r="N39" s="31"/>
      <c r="P39" s="14"/>
    </row>
    <row r="40" spans="1:16" ht="15" customHeight="1" x14ac:dyDescent="0.3">
      <c r="A40" s="52">
        <f t="shared" si="0"/>
        <v>2026</v>
      </c>
      <c r="B40" s="1">
        <f t="shared" si="1"/>
        <v>12</v>
      </c>
      <c r="C40" s="1">
        <v>704</v>
      </c>
      <c r="D40" s="17">
        <v>45993</v>
      </c>
      <c r="E40" s="2">
        <v>12.2</v>
      </c>
      <c r="F40" s="10">
        <v>39</v>
      </c>
      <c r="G40" s="36" t="s">
        <v>15</v>
      </c>
      <c r="H40" s="1" t="s">
        <v>16</v>
      </c>
      <c r="I40" s="25"/>
      <c r="J40" s="1" t="s">
        <v>17</v>
      </c>
      <c r="K40" s="1"/>
      <c r="L40" s="1"/>
      <c r="M40" s="28"/>
      <c r="N40" s="31"/>
      <c r="O40" s="14"/>
      <c r="P40" s="14"/>
    </row>
    <row r="41" spans="1:16" ht="15" customHeight="1" x14ac:dyDescent="0.3">
      <c r="A41" s="52">
        <f t="shared" si="0"/>
        <v>2026</v>
      </c>
      <c r="B41" s="1">
        <f t="shared" si="1"/>
        <v>12</v>
      </c>
      <c r="C41" s="1">
        <v>705</v>
      </c>
      <c r="D41" s="17">
        <v>45993</v>
      </c>
      <c r="E41" s="2">
        <v>9.5</v>
      </c>
      <c r="F41" s="10">
        <v>85</v>
      </c>
      <c r="G41" s="36" t="s">
        <v>15</v>
      </c>
      <c r="H41" s="1" t="s">
        <v>16</v>
      </c>
      <c r="I41" s="25"/>
      <c r="J41" s="1" t="s">
        <v>17</v>
      </c>
      <c r="K41" s="1"/>
      <c r="L41" s="1"/>
      <c r="M41" s="28"/>
      <c r="N41" s="31"/>
      <c r="O41" s="14"/>
      <c r="P41" s="14"/>
    </row>
    <row r="42" spans="1:16" ht="15" customHeight="1" x14ac:dyDescent="0.3">
      <c r="A42" s="52">
        <f t="shared" si="0"/>
        <v>2026</v>
      </c>
      <c r="B42" s="1">
        <f t="shared" si="1"/>
        <v>12</v>
      </c>
      <c r="C42" s="1">
        <v>706</v>
      </c>
      <c r="D42" s="17">
        <v>45993</v>
      </c>
      <c r="E42" s="2">
        <v>15.7</v>
      </c>
      <c r="F42" s="10">
        <v>36</v>
      </c>
      <c r="G42" s="36" t="s">
        <v>15</v>
      </c>
      <c r="H42" s="1" t="s">
        <v>16</v>
      </c>
      <c r="I42" s="25"/>
      <c r="J42" s="1" t="s">
        <v>17</v>
      </c>
      <c r="K42" s="1"/>
      <c r="L42" s="1"/>
      <c r="M42" s="28"/>
      <c r="N42" s="31"/>
      <c r="O42" s="14"/>
      <c r="P42" s="14"/>
    </row>
    <row r="43" spans="1:16" ht="15" customHeight="1" x14ac:dyDescent="0.3">
      <c r="A43" s="52">
        <f t="shared" si="0"/>
        <v>2026</v>
      </c>
      <c r="B43" s="1">
        <f t="shared" si="1"/>
        <v>12</v>
      </c>
      <c r="C43" s="1">
        <v>707</v>
      </c>
      <c r="D43" s="17">
        <v>45993</v>
      </c>
      <c r="E43" s="2">
        <v>10.7</v>
      </c>
      <c r="F43" s="10">
        <v>68</v>
      </c>
      <c r="G43" s="36" t="s">
        <v>15</v>
      </c>
      <c r="H43" s="1" t="s">
        <v>16</v>
      </c>
      <c r="I43" s="25"/>
      <c r="J43" s="1" t="s">
        <v>17</v>
      </c>
      <c r="K43" s="1"/>
      <c r="L43" s="1"/>
      <c r="M43" s="28"/>
      <c r="N43" s="31"/>
      <c r="O43" s="14"/>
      <c r="P43" s="14"/>
    </row>
    <row r="44" spans="1:16" ht="15" customHeight="1" thickBot="1" x14ac:dyDescent="0.35">
      <c r="A44" s="52">
        <f t="shared" si="0"/>
        <v>2026</v>
      </c>
      <c r="B44" s="1">
        <f t="shared" si="1"/>
        <v>12</v>
      </c>
      <c r="C44" s="1">
        <v>711</v>
      </c>
      <c r="D44" s="17">
        <v>45993</v>
      </c>
      <c r="E44" s="2">
        <v>5.9</v>
      </c>
      <c r="F44" s="10">
        <v>145</v>
      </c>
      <c r="G44" s="36" t="s">
        <v>15</v>
      </c>
      <c r="H44" s="1" t="s">
        <v>16</v>
      </c>
      <c r="I44" s="25"/>
      <c r="J44" s="1" t="s">
        <v>17</v>
      </c>
      <c r="K44" s="1"/>
      <c r="L44" s="1"/>
      <c r="M44" s="28"/>
      <c r="N44" s="31"/>
      <c r="O44" s="14"/>
      <c r="P44" s="14"/>
    </row>
    <row r="45" spans="1:16" ht="15" customHeight="1" thickBot="1" x14ac:dyDescent="0.35">
      <c r="A45" s="52">
        <f t="shared" si="0"/>
        <v>2026</v>
      </c>
      <c r="B45" s="1">
        <f t="shared" si="1"/>
        <v>12</v>
      </c>
      <c r="C45" s="1">
        <v>716</v>
      </c>
      <c r="D45" s="17">
        <v>45993</v>
      </c>
      <c r="E45" s="2">
        <v>6.3</v>
      </c>
      <c r="F45" s="10">
        <v>115</v>
      </c>
      <c r="G45" s="36" t="s">
        <v>15</v>
      </c>
      <c r="H45" s="1" t="s">
        <v>16</v>
      </c>
      <c r="I45" s="25"/>
      <c r="J45" s="1" t="s">
        <v>17</v>
      </c>
      <c r="K45" s="1"/>
      <c r="L45" s="1"/>
      <c r="M45" s="28"/>
      <c r="N45" s="31"/>
      <c r="O45" s="77"/>
      <c r="P45" s="14"/>
    </row>
    <row r="46" spans="1:16" ht="15" customHeight="1" x14ac:dyDescent="0.3">
      <c r="A46" s="52">
        <f t="shared" si="0"/>
        <v>2026</v>
      </c>
      <c r="B46" s="1">
        <f t="shared" si="1"/>
        <v>12</v>
      </c>
      <c r="C46" s="1">
        <v>723</v>
      </c>
      <c r="D46" s="17">
        <v>45993</v>
      </c>
      <c r="E46" s="2">
        <v>5.8</v>
      </c>
      <c r="F46" s="10">
        <v>120</v>
      </c>
      <c r="G46" s="36" t="s">
        <v>15</v>
      </c>
      <c r="H46" s="1" t="s">
        <v>16</v>
      </c>
      <c r="I46" s="25"/>
      <c r="J46" s="1" t="s">
        <v>17</v>
      </c>
      <c r="K46" s="1"/>
      <c r="L46" s="1"/>
      <c r="M46" s="28"/>
      <c r="N46" s="31"/>
      <c r="O46" s="14"/>
      <c r="P46" s="14"/>
    </row>
    <row r="47" spans="1:16" ht="15" customHeight="1" x14ac:dyDescent="0.3">
      <c r="A47" s="52">
        <f t="shared" si="0"/>
        <v>2026</v>
      </c>
      <c r="B47" s="1">
        <f t="shared" si="1"/>
        <v>12</v>
      </c>
      <c r="C47" s="1">
        <v>801</v>
      </c>
      <c r="D47" s="17">
        <v>45994</v>
      </c>
      <c r="E47" s="2">
        <v>10.7</v>
      </c>
      <c r="F47" s="10">
        <v>87</v>
      </c>
      <c r="G47" s="36" t="s">
        <v>15</v>
      </c>
      <c r="H47" s="1" t="s">
        <v>16</v>
      </c>
      <c r="I47" s="25"/>
      <c r="J47" s="1" t="s">
        <v>17</v>
      </c>
      <c r="K47" s="1"/>
      <c r="L47" s="1"/>
      <c r="M47" s="28"/>
      <c r="N47" s="31"/>
      <c r="O47" s="7"/>
      <c r="P47" s="14"/>
    </row>
    <row r="48" spans="1:16" ht="15" customHeight="1" thickBot="1" x14ac:dyDescent="0.35">
      <c r="A48" s="52">
        <f t="shared" si="0"/>
        <v>2026</v>
      </c>
      <c r="B48" s="1">
        <f t="shared" si="1"/>
        <v>12</v>
      </c>
      <c r="C48" s="1">
        <v>804</v>
      </c>
      <c r="D48" s="17">
        <v>45993</v>
      </c>
      <c r="E48" s="2">
        <v>9.4</v>
      </c>
      <c r="F48" s="10">
        <v>77</v>
      </c>
      <c r="G48" s="36" t="s">
        <v>15</v>
      </c>
      <c r="H48" s="1" t="s">
        <v>16</v>
      </c>
      <c r="I48" s="25"/>
      <c r="J48" s="1" t="s">
        <v>17</v>
      </c>
      <c r="K48" s="1"/>
      <c r="L48" s="1"/>
      <c r="M48" s="28"/>
      <c r="N48" s="31"/>
      <c r="O48" s="14"/>
      <c r="P48" s="14"/>
    </row>
    <row r="49" spans="1:16" ht="15" customHeight="1" x14ac:dyDescent="0.3">
      <c r="A49" s="74">
        <f t="shared" si="0"/>
        <v>2026</v>
      </c>
      <c r="B49" s="44">
        <f t="shared" si="1"/>
        <v>12</v>
      </c>
      <c r="C49" s="45">
        <v>809</v>
      </c>
      <c r="D49" s="19">
        <v>45992</v>
      </c>
      <c r="E49" s="4">
        <v>5.0999999999999996</v>
      </c>
      <c r="F49" s="11">
        <v>122</v>
      </c>
      <c r="G49" s="37" t="s">
        <v>15</v>
      </c>
      <c r="H49" s="3" t="s">
        <v>16</v>
      </c>
      <c r="I49" s="26"/>
      <c r="J49" s="3" t="s">
        <v>17</v>
      </c>
      <c r="K49" s="3"/>
      <c r="L49" s="3"/>
      <c r="M49" s="29"/>
      <c r="N49" s="32"/>
      <c r="O49" s="96" t="s">
        <v>14</v>
      </c>
      <c r="P49" s="14"/>
    </row>
    <row r="50" spans="1:16" ht="15" customHeight="1" x14ac:dyDescent="0.3">
      <c r="A50" s="74">
        <f t="shared" si="0"/>
        <v>2026</v>
      </c>
      <c r="B50" s="44">
        <f t="shared" si="1"/>
        <v>12</v>
      </c>
      <c r="C50" s="45">
        <v>812</v>
      </c>
      <c r="D50" s="19">
        <v>45993</v>
      </c>
      <c r="E50" s="4">
        <v>4.8</v>
      </c>
      <c r="F50" s="11">
        <v>109</v>
      </c>
      <c r="G50" s="37" t="s">
        <v>15</v>
      </c>
      <c r="H50" s="3" t="s">
        <v>16</v>
      </c>
      <c r="I50" s="26"/>
      <c r="J50" s="3" t="s">
        <v>17</v>
      </c>
      <c r="K50" s="3"/>
      <c r="L50" s="3"/>
      <c r="M50" s="29"/>
      <c r="N50" s="32"/>
      <c r="O50" s="97"/>
      <c r="P50" s="14"/>
    </row>
    <row r="51" spans="1:16" ht="15" customHeight="1" x14ac:dyDescent="0.3">
      <c r="A51" s="52">
        <f t="shared" si="0"/>
        <v>2026</v>
      </c>
      <c r="B51" s="1">
        <f t="shared" si="1"/>
        <v>12</v>
      </c>
      <c r="C51" s="1">
        <v>815</v>
      </c>
      <c r="D51" s="17">
        <v>45992</v>
      </c>
      <c r="E51" s="2">
        <v>4.2</v>
      </c>
      <c r="F51" s="10">
        <v>114</v>
      </c>
      <c r="G51" s="36" t="s">
        <v>15</v>
      </c>
      <c r="H51" s="1" t="s">
        <v>16</v>
      </c>
      <c r="I51" s="25"/>
      <c r="J51" s="1" t="s">
        <v>17</v>
      </c>
      <c r="K51" s="1"/>
      <c r="L51" s="1"/>
      <c r="M51" s="28"/>
      <c r="N51" s="31"/>
      <c r="O51" s="66"/>
      <c r="P51" s="14"/>
    </row>
    <row r="52" spans="1:16" ht="15" customHeight="1" x14ac:dyDescent="0.3">
      <c r="A52" s="52">
        <f t="shared" si="0"/>
        <v>2026</v>
      </c>
      <c r="B52" s="1">
        <f t="shared" si="1"/>
        <v>12</v>
      </c>
      <c r="C52" s="1">
        <v>901</v>
      </c>
      <c r="D52" s="17">
        <v>45992</v>
      </c>
      <c r="E52" s="2">
        <v>1.4</v>
      </c>
      <c r="F52" s="10">
        <v>132</v>
      </c>
      <c r="G52" s="36" t="s">
        <v>15</v>
      </c>
      <c r="H52" s="1" t="s">
        <v>16</v>
      </c>
      <c r="I52" s="10"/>
      <c r="J52" s="1" t="s">
        <v>17</v>
      </c>
      <c r="K52" s="1"/>
      <c r="L52" s="1"/>
      <c r="M52" s="28"/>
      <c r="N52" s="31"/>
      <c r="O52" s="66"/>
      <c r="P52" s="14"/>
    </row>
    <row r="53" spans="1:16" ht="15" customHeight="1" x14ac:dyDescent="0.3">
      <c r="A53" s="52">
        <f t="shared" si="0"/>
        <v>2026</v>
      </c>
      <c r="B53" s="1">
        <f t="shared" si="1"/>
        <v>12</v>
      </c>
      <c r="C53" s="1">
        <v>902</v>
      </c>
      <c r="D53" s="17">
        <v>45992</v>
      </c>
      <c r="E53" s="2">
        <v>1.4</v>
      </c>
      <c r="F53" s="10">
        <v>200</v>
      </c>
      <c r="G53" s="36" t="s">
        <v>15</v>
      </c>
      <c r="H53" s="1" t="s">
        <v>16</v>
      </c>
      <c r="I53" s="10"/>
      <c r="J53" s="1" t="s">
        <v>17</v>
      </c>
      <c r="K53" s="1"/>
      <c r="L53" s="1"/>
      <c r="M53" s="28"/>
      <c r="N53" s="31"/>
      <c r="O53" s="66"/>
      <c r="P53" s="14"/>
    </row>
    <row r="54" spans="1:16" ht="15" customHeight="1" x14ac:dyDescent="0.3">
      <c r="A54" s="52">
        <f t="shared" si="0"/>
        <v>2026</v>
      </c>
      <c r="B54" s="1">
        <f t="shared" si="1"/>
        <v>12</v>
      </c>
      <c r="C54" s="1">
        <v>906</v>
      </c>
      <c r="D54" s="17">
        <v>45992</v>
      </c>
      <c r="E54" s="2"/>
      <c r="F54" s="10">
        <v>141</v>
      </c>
      <c r="G54" s="36" t="s">
        <v>15</v>
      </c>
      <c r="H54" s="1" t="s">
        <v>16</v>
      </c>
      <c r="I54" s="10"/>
      <c r="J54" s="1" t="s">
        <v>17</v>
      </c>
      <c r="K54" s="1"/>
      <c r="L54" s="1"/>
      <c r="M54" s="28"/>
      <c r="N54" s="31"/>
      <c r="O54" s="66"/>
      <c r="P54" s="14"/>
    </row>
    <row r="55" spans="1:16" ht="15" customHeight="1" x14ac:dyDescent="0.3">
      <c r="A55" s="52">
        <f t="shared" si="0"/>
        <v>2026</v>
      </c>
      <c r="B55" s="1">
        <f t="shared" si="1"/>
        <v>12</v>
      </c>
      <c r="C55" s="1">
        <v>910</v>
      </c>
      <c r="D55" s="17">
        <v>45992</v>
      </c>
      <c r="E55" s="2">
        <v>1.6</v>
      </c>
      <c r="F55" s="10">
        <v>200</v>
      </c>
      <c r="G55" s="36" t="s">
        <v>15</v>
      </c>
      <c r="H55" s="1" t="s">
        <v>16</v>
      </c>
      <c r="I55" s="10"/>
      <c r="J55" s="1" t="s">
        <v>17</v>
      </c>
      <c r="K55" s="1"/>
      <c r="L55" s="1"/>
      <c r="M55" s="28"/>
      <c r="N55" s="31"/>
      <c r="O55" s="66"/>
      <c r="P55" s="14"/>
    </row>
    <row r="56" spans="1:16" ht="15" customHeight="1" x14ac:dyDescent="0.3">
      <c r="A56" s="52">
        <f t="shared" si="0"/>
        <v>2026</v>
      </c>
      <c r="B56" s="1">
        <f t="shared" si="1"/>
        <v>12</v>
      </c>
      <c r="C56" s="1">
        <v>912</v>
      </c>
      <c r="D56" s="17">
        <v>45992</v>
      </c>
      <c r="E56" s="2">
        <v>3.6</v>
      </c>
      <c r="F56" s="10">
        <v>151</v>
      </c>
      <c r="G56" s="36" t="s">
        <v>15</v>
      </c>
      <c r="H56" s="1" t="s">
        <v>16</v>
      </c>
      <c r="I56" s="10"/>
      <c r="J56" s="1" t="s">
        <v>17</v>
      </c>
      <c r="K56" s="1"/>
      <c r="L56" s="1"/>
      <c r="M56" s="28"/>
      <c r="N56" s="31"/>
      <c r="O56" s="66"/>
      <c r="P56" s="14"/>
    </row>
    <row r="57" spans="1:16" ht="15" customHeight="1" x14ac:dyDescent="0.3">
      <c r="A57" s="52">
        <f t="shared" si="0"/>
        <v>2026</v>
      </c>
      <c r="B57" s="1">
        <f t="shared" si="1"/>
        <v>12</v>
      </c>
      <c r="C57" s="1">
        <v>914</v>
      </c>
      <c r="D57" s="17">
        <v>45992</v>
      </c>
      <c r="E57" s="2"/>
      <c r="F57" s="10">
        <v>200</v>
      </c>
      <c r="G57" s="36" t="s">
        <v>15</v>
      </c>
      <c r="H57" s="1" t="s">
        <v>16</v>
      </c>
      <c r="I57" s="10"/>
      <c r="J57" s="1" t="s">
        <v>17</v>
      </c>
      <c r="K57" s="1"/>
      <c r="L57" s="1"/>
      <c r="M57" s="28"/>
      <c r="N57" s="31"/>
      <c r="O57" s="66"/>
      <c r="P57" s="14"/>
    </row>
    <row r="58" spans="1:16" ht="15" customHeight="1" x14ac:dyDescent="0.3">
      <c r="A58" s="52">
        <f t="shared" si="0"/>
        <v>2026</v>
      </c>
      <c r="B58" s="1">
        <f t="shared" si="1"/>
        <v>12</v>
      </c>
      <c r="C58" s="1">
        <v>915</v>
      </c>
      <c r="D58" s="17">
        <v>45992</v>
      </c>
      <c r="E58" s="2"/>
      <c r="F58" s="10">
        <v>200</v>
      </c>
      <c r="G58" s="36" t="s">
        <v>15</v>
      </c>
      <c r="H58" s="1" t="s">
        <v>16</v>
      </c>
      <c r="I58" s="10"/>
      <c r="J58" s="1" t="s">
        <v>17</v>
      </c>
      <c r="K58" s="1"/>
      <c r="L58" s="1"/>
      <c r="M58" s="28"/>
      <c r="N58" s="31"/>
      <c r="O58" s="66"/>
      <c r="P58" s="14"/>
    </row>
    <row r="59" spans="1:16" ht="15" customHeight="1" x14ac:dyDescent="0.3">
      <c r="A59" s="52">
        <f t="shared" si="0"/>
        <v>2026</v>
      </c>
      <c r="B59" s="1">
        <f t="shared" si="1"/>
        <v>12</v>
      </c>
      <c r="C59" s="1">
        <v>918</v>
      </c>
      <c r="D59" s="17">
        <v>45992</v>
      </c>
      <c r="E59" s="2">
        <v>2.4</v>
      </c>
      <c r="F59" s="10">
        <v>200</v>
      </c>
      <c r="G59" s="36" t="s">
        <v>15</v>
      </c>
      <c r="H59" s="1" t="s">
        <v>16</v>
      </c>
      <c r="I59" s="10"/>
      <c r="J59" s="1" t="s">
        <v>17</v>
      </c>
      <c r="K59" s="1"/>
      <c r="L59" s="1"/>
      <c r="M59" s="28"/>
      <c r="N59" s="31"/>
      <c r="O59" s="66"/>
      <c r="P59" s="14"/>
    </row>
    <row r="60" spans="1:16" ht="15" customHeight="1" thickBot="1" x14ac:dyDescent="0.35">
      <c r="A60" s="75">
        <f t="shared" si="0"/>
        <v>2026</v>
      </c>
      <c r="B60" s="67">
        <f t="shared" si="1"/>
        <v>12</v>
      </c>
      <c r="C60" s="67">
        <v>919</v>
      </c>
      <c r="D60" s="68">
        <v>45992</v>
      </c>
      <c r="E60" s="69"/>
      <c r="F60" s="70">
        <v>151</v>
      </c>
      <c r="G60" s="71" t="s">
        <v>15</v>
      </c>
      <c r="H60" s="67" t="s">
        <v>16</v>
      </c>
      <c r="I60" s="70"/>
      <c r="J60" s="67" t="s">
        <v>17</v>
      </c>
      <c r="K60" s="67"/>
      <c r="L60" s="67"/>
      <c r="M60" s="72"/>
      <c r="N60" s="73"/>
      <c r="O60" s="66"/>
      <c r="P60" s="14"/>
    </row>
    <row r="61" spans="1:16" ht="15" customHeight="1" x14ac:dyDescent="0.3">
      <c r="A61" s="79" t="s">
        <v>21</v>
      </c>
      <c r="B61" s="80"/>
      <c r="C61" s="80"/>
      <c r="D61" s="80"/>
      <c r="E61" s="16"/>
      <c r="F61" s="35"/>
      <c r="G61" s="16"/>
      <c r="H61" s="5"/>
      <c r="I61" s="35"/>
      <c r="J61" s="6"/>
      <c r="K61" s="6"/>
      <c r="L61" s="6"/>
      <c r="M61" s="42"/>
      <c r="N61" s="6"/>
      <c r="O61" s="14"/>
    </row>
    <row r="62" spans="1:16" ht="15" customHeight="1" x14ac:dyDescent="0.3">
      <c r="A62" s="79" t="s">
        <v>22</v>
      </c>
      <c r="B62" s="81"/>
      <c r="C62" s="81"/>
      <c r="D62" s="81"/>
      <c r="E62" s="27"/>
      <c r="F62" s="35"/>
      <c r="G62" s="27"/>
      <c r="H62" s="27"/>
      <c r="I62" s="35"/>
      <c r="J62" s="27"/>
      <c r="K62" s="27"/>
      <c r="L62" s="27"/>
      <c r="M62" s="43"/>
      <c r="N62" s="27"/>
      <c r="O62" s="14"/>
    </row>
    <row r="63" spans="1:16" ht="15" customHeight="1" x14ac:dyDescent="0.3">
      <c r="A63" s="79" t="s">
        <v>23</v>
      </c>
      <c r="B63" s="81"/>
      <c r="C63" s="81"/>
      <c r="D63" s="81"/>
      <c r="E63" s="35"/>
      <c r="F63" s="35"/>
      <c r="G63" s="35"/>
      <c r="H63" s="35"/>
      <c r="I63" s="35"/>
      <c r="J63" s="56"/>
      <c r="K63" s="35"/>
      <c r="L63" s="35"/>
      <c r="M63" s="59"/>
      <c r="N63" s="35"/>
      <c r="O63" s="14"/>
    </row>
    <row r="64" spans="1:16" ht="15" customHeight="1" x14ac:dyDescent="0.3">
      <c r="A64" s="82" t="s">
        <v>18</v>
      </c>
      <c r="B64" s="83"/>
      <c r="C64" s="83"/>
      <c r="D64" s="81"/>
      <c r="E64" s="35"/>
      <c r="F64" s="35"/>
      <c r="G64" s="35"/>
      <c r="H64" s="35"/>
      <c r="I64" s="35"/>
      <c r="J64" s="56"/>
      <c r="K64" s="35"/>
      <c r="L64" s="35"/>
      <c r="M64" s="59"/>
      <c r="N64" s="35"/>
      <c r="O64" s="14"/>
    </row>
    <row r="65" customFormat="1" ht="15" customHeight="1" x14ac:dyDescent="0.3"/>
    <row r="66" customFormat="1" ht="15" customHeight="1" x14ac:dyDescent="0.3"/>
    <row r="67" customFormat="1" ht="15" customHeight="1" x14ac:dyDescent="0.3"/>
    <row r="68" customFormat="1" ht="15" customHeight="1" x14ac:dyDescent="0.3"/>
    <row r="69" customFormat="1" ht="15" customHeight="1" x14ac:dyDescent="0.3"/>
    <row r="70" customFormat="1" ht="15" customHeight="1" x14ac:dyDescent="0.3"/>
    <row r="71" customFormat="1" ht="15" customHeight="1" x14ac:dyDescent="0.3"/>
    <row r="72" customFormat="1" ht="15" customHeight="1" x14ac:dyDescent="0.3"/>
    <row r="73" customFormat="1" ht="15" customHeight="1" x14ac:dyDescent="0.3"/>
    <row r="74" customFormat="1" ht="15" customHeight="1" x14ac:dyDescent="0.3"/>
    <row r="75" customFormat="1" ht="15" customHeight="1" x14ac:dyDescent="0.3"/>
    <row r="76" customFormat="1" ht="15" customHeight="1" x14ac:dyDescent="0.3"/>
    <row r="77" customFormat="1" ht="15" customHeight="1" x14ac:dyDescent="0.3"/>
  </sheetData>
  <mergeCells count="1">
    <mergeCell ref="O49:O50"/>
  </mergeCells>
  <dataValidations count="3">
    <dataValidation type="list" allowBlank="1" showInputMessage="1" showErrorMessage="1" sqref="J2:J60" xr:uid="{4E3674FF-AD82-4CCE-A8E2-EE1D7DD9341F}">
      <formula1>"Preliminary, Completed"</formula1>
    </dataValidation>
    <dataValidation type="list" allowBlank="1" showInputMessage="1" showErrorMessage="1" sqref="H2:H60" xr:uid="{D81A7776-9DFE-41DF-B671-07164B38162A}">
      <formula1>"No Smelt Catch, Longfin Smelt "</formula1>
    </dataValidation>
    <dataValidation type="list" allowBlank="1" showInputMessage="1" showErrorMessage="1" sqref="G2:G60" xr:uid="{4E067102-EAF9-4058-A3B2-5D27D2ED187A}">
      <formula1>"Not Processed, Processed"</formula1>
    </dataValidation>
  </dataValidations>
  <pageMargins left="0.7" right="0.7" top="0.75" bottom="0.75" header="0.3" footer="0.3"/>
  <pageSetup scale="1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6FC9-137F-4031-BFEE-B2BD06797D20}">
  <sheetPr>
    <pageSetUpPr fitToPage="1"/>
  </sheetPr>
  <dimension ref="A1:P75"/>
  <sheetViews>
    <sheetView zoomScaleNormal="100" workbookViewId="0">
      <pane ySplit="1" topLeftCell="A50" activePane="bottomLeft" state="frozen"/>
      <selection pane="bottomLeft" activeCell="G65" sqref="G65:N67"/>
    </sheetView>
  </sheetViews>
  <sheetFormatPr defaultRowHeight="15" customHeight="1" x14ac:dyDescent="0.3"/>
  <cols>
    <col min="1" max="2" width="6.44140625" style="22" customWidth="1"/>
    <col min="3" max="3" width="6.88671875" style="22" customWidth="1"/>
    <col min="4" max="4" width="10.109375" style="60" customWidth="1"/>
    <col min="5" max="5" width="8.44140625" style="22" customWidth="1"/>
    <col min="6" max="6" width="6.5546875" style="22" customWidth="1"/>
    <col min="7" max="7" width="13.5546875" style="22" customWidth="1"/>
    <col min="8" max="8" width="14.5546875" style="22" customWidth="1"/>
    <col min="9" max="9" width="6.88671875" style="22" customWidth="1"/>
    <col min="10" max="10" width="10.44140625" style="55" customWidth="1"/>
    <col min="11" max="12" width="6.44140625" style="22" customWidth="1"/>
    <col min="13" max="13" width="6.44140625" style="61" customWidth="1"/>
    <col min="14" max="14" width="9.88671875" style="22" customWidth="1"/>
    <col min="15" max="15" width="9.5546875" customWidth="1"/>
    <col min="16" max="16" width="2.5546875" customWidth="1"/>
  </cols>
  <sheetData>
    <row r="1" spans="1:16" ht="25.5" customHeight="1" thickBot="1" x14ac:dyDescent="0.35">
      <c r="A1" s="58" t="s">
        <v>0</v>
      </c>
      <c r="B1" s="46" t="s">
        <v>1</v>
      </c>
      <c r="C1" s="46" t="s">
        <v>2</v>
      </c>
      <c r="D1" s="47" t="s">
        <v>11</v>
      </c>
      <c r="E1" s="46" t="s">
        <v>13</v>
      </c>
      <c r="F1" s="46" t="s">
        <v>10</v>
      </c>
      <c r="G1" s="48" t="s">
        <v>3</v>
      </c>
      <c r="H1" s="46" t="s">
        <v>4</v>
      </c>
      <c r="I1" s="46" t="s">
        <v>5</v>
      </c>
      <c r="J1" s="46" t="s">
        <v>9</v>
      </c>
      <c r="K1" s="46" t="s">
        <v>6</v>
      </c>
      <c r="L1" s="46" t="s">
        <v>7</v>
      </c>
      <c r="M1" s="49" t="s">
        <v>8</v>
      </c>
      <c r="N1" s="50" t="s">
        <v>12</v>
      </c>
      <c r="O1" s="15"/>
      <c r="P1" s="14"/>
    </row>
    <row r="2" spans="1:16" ht="15" customHeight="1" thickBot="1" x14ac:dyDescent="0.35">
      <c r="A2" s="51">
        <v>2026</v>
      </c>
      <c r="B2" s="1">
        <v>13</v>
      </c>
      <c r="C2" s="9">
        <v>306</v>
      </c>
      <c r="D2" s="20">
        <v>46007</v>
      </c>
      <c r="E2" s="9">
        <v>7.1</v>
      </c>
      <c r="F2" s="12">
        <v>62</v>
      </c>
      <c r="G2" s="36" t="s">
        <v>15</v>
      </c>
      <c r="H2" s="8" t="s">
        <v>16</v>
      </c>
      <c r="I2" s="23"/>
      <c r="J2" s="8" t="s">
        <v>17</v>
      </c>
      <c r="K2" s="9"/>
      <c r="L2" s="9"/>
      <c r="M2" s="39"/>
      <c r="N2" s="33"/>
      <c r="O2" s="15"/>
      <c r="P2" s="14"/>
    </row>
    <row r="3" spans="1:16" ht="15" customHeight="1" thickBot="1" x14ac:dyDescent="0.35">
      <c r="A3" s="52">
        <f>A2</f>
        <v>2026</v>
      </c>
      <c r="B3" s="1">
        <f>B2</f>
        <v>13</v>
      </c>
      <c r="C3" s="8">
        <v>308</v>
      </c>
      <c r="D3" s="18">
        <v>46007</v>
      </c>
      <c r="E3" s="8">
        <v>5.8</v>
      </c>
      <c r="F3" s="13">
        <v>81</v>
      </c>
      <c r="G3" s="36" t="s">
        <v>15</v>
      </c>
      <c r="H3" s="8" t="s">
        <v>16</v>
      </c>
      <c r="I3" s="24"/>
      <c r="J3" s="8" t="s">
        <v>17</v>
      </c>
      <c r="K3" s="8"/>
      <c r="L3" s="8"/>
      <c r="M3" s="40"/>
      <c r="N3" s="30"/>
      <c r="O3" s="15"/>
      <c r="P3" s="14"/>
    </row>
    <row r="4" spans="1:16" ht="15" customHeight="1" thickBot="1" x14ac:dyDescent="0.35">
      <c r="A4" s="52">
        <f t="shared" ref="A4:B60" si="0">A3</f>
        <v>2026</v>
      </c>
      <c r="B4" s="1">
        <f>B3</f>
        <v>13</v>
      </c>
      <c r="C4" s="8">
        <v>311</v>
      </c>
      <c r="D4" s="18">
        <v>46007</v>
      </c>
      <c r="E4" s="8">
        <v>4.5</v>
      </c>
      <c r="F4" s="13">
        <v>90</v>
      </c>
      <c r="G4" s="36" t="s">
        <v>15</v>
      </c>
      <c r="H4" s="8" t="s">
        <v>16</v>
      </c>
      <c r="I4" s="24"/>
      <c r="J4" s="8" t="s">
        <v>17</v>
      </c>
      <c r="K4" s="8"/>
      <c r="L4" s="8"/>
      <c r="M4" s="40"/>
      <c r="N4" s="30"/>
      <c r="O4" s="15"/>
      <c r="P4" s="14"/>
    </row>
    <row r="5" spans="1:16" ht="15" customHeight="1" thickBot="1" x14ac:dyDescent="0.35">
      <c r="A5" s="52">
        <f t="shared" si="0"/>
        <v>2026</v>
      </c>
      <c r="B5" s="1">
        <f t="shared" si="0"/>
        <v>13</v>
      </c>
      <c r="C5" s="8">
        <v>315</v>
      </c>
      <c r="D5" s="20">
        <v>46007</v>
      </c>
      <c r="E5" s="9">
        <v>9.6999999999999993</v>
      </c>
      <c r="F5" s="12">
        <v>57</v>
      </c>
      <c r="G5" s="36" t="s">
        <v>15</v>
      </c>
      <c r="H5" s="8" t="s">
        <v>16</v>
      </c>
      <c r="I5" s="23"/>
      <c r="J5" s="8" t="s">
        <v>17</v>
      </c>
      <c r="K5" s="9"/>
      <c r="L5" s="9"/>
      <c r="M5" s="41"/>
      <c r="N5" s="34"/>
      <c r="O5" s="15"/>
      <c r="P5" s="14"/>
    </row>
    <row r="6" spans="1:16" ht="15" customHeight="1" thickBot="1" x14ac:dyDescent="0.35">
      <c r="A6" s="52">
        <f t="shared" si="0"/>
        <v>2026</v>
      </c>
      <c r="B6" s="1">
        <f t="shared" si="0"/>
        <v>13</v>
      </c>
      <c r="C6" s="8">
        <v>322</v>
      </c>
      <c r="D6" s="18">
        <v>46007</v>
      </c>
      <c r="E6" s="8">
        <v>7.6</v>
      </c>
      <c r="F6" s="13">
        <v>67</v>
      </c>
      <c r="G6" s="36" t="s">
        <v>15</v>
      </c>
      <c r="H6" s="8" t="s">
        <v>16</v>
      </c>
      <c r="I6" s="24"/>
      <c r="J6" s="8" t="s">
        <v>17</v>
      </c>
      <c r="K6" s="8"/>
      <c r="L6" s="8"/>
      <c r="M6" s="40"/>
      <c r="N6" s="30"/>
      <c r="O6" s="15"/>
      <c r="P6" s="14"/>
    </row>
    <row r="7" spans="1:16" ht="15" customHeight="1" thickBot="1" x14ac:dyDescent="0.35">
      <c r="A7" s="52">
        <f t="shared" si="0"/>
        <v>2026</v>
      </c>
      <c r="B7" s="1">
        <f t="shared" si="0"/>
        <v>13</v>
      </c>
      <c r="C7" s="8">
        <v>323</v>
      </c>
      <c r="D7" s="18">
        <v>46007</v>
      </c>
      <c r="E7" s="8">
        <v>8</v>
      </c>
      <c r="F7" s="13">
        <v>75</v>
      </c>
      <c r="G7" s="36" t="s">
        <v>15</v>
      </c>
      <c r="H7" s="8" t="s">
        <v>16</v>
      </c>
      <c r="I7" s="24"/>
      <c r="J7" s="8" t="s">
        <v>17</v>
      </c>
      <c r="K7" s="8"/>
      <c r="L7" s="8"/>
      <c r="M7" s="40"/>
      <c r="N7" s="30"/>
      <c r="O7" s="15"/>
      <c r="P7" s="14"/>
    </row>
    <row r="8" spans="1:16" ht="15" customHeight="1" thickBot="1" x14ac:dyDescent="0.35">
      <c r="A8" s="52">
        <f t="shared" si="0"/>
        <v>2026</v>
      </c>
      <c r="B8" s="1">
        <f t="shared" si="0"/>
        <v>13</v>
      </c>
      <c r="C8" s="8">
        <v>327</v>
      </c>
      <c r="D8" s="18">
        <v>46007</v>
      </c>
      <c r="E8" s="8">
        <v>20.6</v>
      </c>
      <c r="F8" s="13">
        <v>39</v>
      </c>
      <c r="G8" s="36" t="s">
        <v>15</v>
      </c>
      <c r="H8" s="8" t="s">
        <v>16</v>
      </c>
      <c r="I8" s="24"/>
      <c r="J8" s="8" t="s">
        <v>17</v>
      </c>
      <c r="K8" s="8"/>
      <c r="L8" s="8"/>
      <c r="M8" s="40"/>
      <c r="N8" s="30"/>
      <c r="O8" s="15"/>
      <c r="P8" s="14"/>
    </row>
    <row r="9" spans="1:16" ht="15" customHeight="1" thickBot="1" x14ac:dyDescent="0.35">
      <c r="A9" s="52">
        <f t="shared" si="0"/>
        <v>2026</v>
      </c>
      <c r="B9" s="1">
        <f t="shared" si="0"/>
        <v>13</v>
      </c>
      <c r="C9" s="8">
        <v>328</v>
      </c>
      <c r="D9" s="18">
        <v>46007</v>
      </c>
      <c r="E9" s="8">
        <v>9</v>
      </c>
      <c r="F9" s="13">
        <v>73</v>
      </c>
      <c r="G9" s="36" t="s">
        <v>15</v>
      </c>
      <c r="H9" s="8" t="s">
        <v>16</v>
      </c>
      <c r="I9" s="24"/>
      <c r="J9" s="8" t="s">
        <v>17</v>
      </c>
      <c r="K9" s="8"/>
      <c r="L9" s="8"/>
      <c r="M9" s="40"/>
      <c r="N9" s="30"/>
      <c r="O9" s="15"/>
      <c r="P9" s="14"/>
    </row>
    <row r="10" spans="1:16" ht="15" customHeight="1" thickBot="1" x14ac:dyDescent="0.35">
      <c r="A10" s="52">
        <f t="shared" si="0"/>
        <v>2026</v>
      </c>
      <c r="B10" s="1">
        <f t="shared" si="0"/>
        <v>13</v>
      </c>
      <c r="C10" s="8">
        <v>329</v>
      </c>
      <c r="D10" s="18">
        <v>46007</v>
      </c>
      <c r="E10" s="8">
        <v>8.9</v>
      </c>
      <c r="F10" s="13">
        <v>68</v>
      </c>
      <c r="G10" s="36" t="s">
        <v>15</v>
      </c>
      <c r="H10" s="8" t="s">
        <v>16</v>
      </c>
      <c r="I10" s="24"/>
      <c r="J10" s="8" t="s">
        <v>17</v>
      </c>
      <c r="K10" s="8"/>
      <c r="L10" s="8"/>
      <c r="M10" s="40"/>
      <c r="N10" s="30"/>
      <c r="O10" s="15"/>
      <c r="P10" s="14"/>
    </row>
    <row r="11" spans="1:16" ht="15" customHeight="1" thickBot="1" x14ac:dyDescent="0.35">
      <c r="A11" s="52">
        <f t="shared" si="0"/>
        <v>2026</v>
      </c>
      <c r="B11" s="1">
        <f t="shared" si="0"/>
        <v>13</v>
      </c>
      <c r="C11" s="8">
        <v>330</v>
      </c>
      <c r="D11" s="18">
        <v>46007</v>
      </c>
      <c r="E11" s="8">
        <v>6.1</v>
      </c>
      <c r="F11" s="13">
        <v>87</v>
      </c>
      <c r="G11" s="36" t="s">
        <v>15</v>
      </c>
      <c r="H11" s="8" t="s">
        <v>16</v>
      </c>
      <c r="I11" s="24"/>
      <c r="J11" s="8" t="s">
        <v>17</v>
      </c>
      <c r="K11" s="8"/>
      <c r="L11" s="8"/>
      <c r="M11" s="40"/>
      <c r="N11" s="30"/>
      <c r="O11" s="15"/>
      <c r="P11" s="14"/>
    </row>
    <row r="12" spans="1:16" ht="15" customHeight="1" thickBot="1" x14ac:dyDescent="0.35">
      <c r="A12" s="52">
        <f t="shared" si="0"/>
        <v>2026</v>
      </c>
      <c r="B12" s="1">
        <f t="shared" si="0"/>
        <v>13</v>
      </c>
      <c r="C12" s="8">
        <v>335</v>
      </c>
      <c r="D12" s="20">
        <v>46007</v>
      </c>
      <c r="E12" s="9">
        <v>8.6999999999999993</v>
      </c>
      <c r="F12" s="12">
        <v>68</v>
      </c>
      <c r="G12" s="36" t="s">
        <v>15</v>
      </c>
      <c r="H12" s="9" t="s">
        <v>16</v>
      </c>
      <c r="I12" s="23"/>
      <c r="J12" s="9" t="s">
        <v>17</v>
      </c>
      <c r="K12" s="9"/>
      <c r="L12" s="9"/>
      <c r="M12" s="41"/>
      <c r="N12" s="34"/>
      <c r="O12" s="15"/>
      <c r="P12" s="14"/>
    </row>
    <row r="13" spans="1:16" ht="15" customHeight="1" thickBot="1" x14ac:dyDescent="0.35">
      <c r="A13" s="52">
        <f t="shared" si="0"/>
        <v>2026</v>
      </c>
      <c r="B13" s="1">
        <f t="shared" si="0"/>
        <v>13</v>
      </c>
      <c r="C13" s="8">
        <v>336</v>
      </c>
      <c r="D13" s="18">
        <v>46007</v>
      </c>
      <c r="E13" s="8">
        <v>10.4</v>
      </c>
      <c r="F13" s="13">
        <v>67</v>
      </c>
      <c r="G13" s="36" t="s">
        <v>15</v>
      </c>
      <c r="H13" s="8" t="s">
        <v>16</v>
      </c>
      <c r="I13" s="24"/>
      <c r="J13" s="8" t="s">
        <v>17</v>
      </c>
      <c r="K13" s="8"/>
      <c r="L13" s="8"/>
      <c r="M13" s="40"/>
      <c r="N13" s="30"/>
      <c r="O13" s="15"/>
      <c r="P13" s="14"/>
    </row>
    <row r="14" spans="1:16" ht="15" customHeight="1" thickBot="1" x14ac:dyDescent="0.35">
      <c r="A14" s="52">
        <f t="shared" si="0"/>
        <v>2026</v>
      </c>
      <c r="B14" s="1">
        <f t="shared" si="0"/>
        <v>13</v>
      </c>
      <c r="C14" s="8">
        <v>338</v>
      </c>
      <c r="D14" s="18">
        <v>46006</v>
      </c>
      <c r="E14" s="8">
        <v>5.7</v>
      </c>
      <c r="F14" s="13">
        <v>92</v>
      </c>
      <c r="G14" s="36" t="s">
        <v>15</v>
      </c>
      <c r="H14" s="8" t="s">
        <v>16</v>
      </c>
      <c r="I14" s="24"/>
      <c r="J14" s="8" t="s">
        <v>17</v>
      </c>
      <c r="K14" s="8"/>
      <c r="L14" s="8"/>
      <c r="M14" s="40"/>
      <c r="N14" s="30"/>
      <c r="O14" s="15"/>
      <c r="P14" s="14"/>
    </row>
    <row r="15" spans="1:16" ht="15" customHeight="1" thickBot="1" x14ac:dyDescent="0.35">
      <c r="A15" s="52">
        <f t="shared" si="0"/>
        <v>2026</v>
      </c>
      <c r="B15" s="1">
        <f t="shared" si="0"/>
        <v>13</v>
      </c>
      <c r="C15" s="1">
        <v>340</v>
      </c>
      <c r="D15" s="17">
        <v>46006</v>
      </c>
      <c r="E15" s="8">
        <v>13.1</v>
      </c>
      <c r="F15" s="13">
        <v>68</v>
      </c>
      <c r="G15" s="36" t="s">
        <v>15</v>
      </c>
      <c r="H15" s="8" t="s">
        <v>16</v>
      </c>
      <c r="I15" s="24"/>
      <c r="J15" s="8" t="s">
        <v>17</v>
      </c>
      <c r="K15" s="8"/>
      <c r="L15" s="8"/>
      <c r="M15" s="40"/>
      <c r="N15" s="30"/>
      <c r="O15" s="15"/>
      <c r="P15" s="14"/>
    </row>
    <row r="16" spans="1:16" ht="15" customHeight="1" thickBot="1" x14ac:dyDescent="0.35">
      <c r="A16" s="52">
        <f t="shared" si="0"/>
        <v>2026</v>
      </c>
      <c r="B16" s="1">
        <f t="shared" si="0"/>
        <v>13</v>
      </c>
      <c r="C16" s="1">
        <v>342</v>
      </c>
      <c r="D16" s="17">
        <v>46006</v>
      </c>
      <c r="E16" s="2">
        <v>10.4</v>
      </c>
      <c r="F16" s="10">
        <v>55</v>
      </c>
      <c r="G16" s="36" t="s">
        <v>15</v>
      </c>
      <c r="H16" s="1" t="s">
        <v>16</v>
      </c>
      <c r="I16" s="25"/>
      <c r="J16" s="8" t="s">
        <v>17</v>
      </c>
      <c r="K16" s="1"/>
      <c r="L16" s="1"/>
      <c r="M16" s="28"/>
      <c r="N16" s="31"/>
      <c r="O16" s="15"/>
      <c r="P16" s="14"/>
    </row>
    <row r="17" spans="1:16" ht="15" customHeight="1" thickBot="1" x14ac:dyDescent="0.35">
      <c r="A17" s="52">
        <f t="shared" si="0"/>
        <v>2026</v>
      </c>
      <c r="B17" s="1">
        <f t="shared" si="0"/>
        <v>13</v>
      </c>
      <c r="C17" s="1">
        <v>343</v>
      </c>
      <c r="D17" s="17">
        <v>46006</v>
      </c>
      <c r="E17" s="2">
        <v>10.8</v>
      </c>
      <c r="F17" s="10">
        <v>71</v>
      </c>
      <c r="G17" s="36" t="s">
        <v>15</v>
      </c>
      <c r="H17" s="1" t="s">
        <v>16</v>
      </c>
      <c r="I17" s="25"/>
      <c r="J17" s="8" t="s">
        <v>17</v>
      </c>
      <c r="K17" s="1"/>
      <c r="L17" s="1"/>
      <c r="M17" s="28"/>
      <c r="N17" s="31"/>
      <c r="O17" s="15"/>
      <c r="P17" s="14"/>
    </row>
    <row r="18" spans="1:16" ht="15" customHeight="1" thickBot="1" x14ac:dyDescent="0.35">
      <c r="A18" s="52">
        <f t="shared" si="0"/>
        <v>2026</v>
      </c>
      <c r="B18" s="1">
        <f t="shared" si="0"/>
        <v>13</v>
      </c>
      <c r="C18" s="1">
        <v>344</v>
      </c>
      <c r="D18" s="17">
        <v>46006</v>
      </c>
      <c r="E18" s="2">
        <v>9.3000000000000007</v>
      </c>
      <c r="F18" s="10">
        <v>63</v>
      </c>
      <c r="G18" s="36" t="s">
        <v>15</v>
      </c>
      <c r="H18" s="1" t="s">
        <v>16</v>
      </c>
      <c r="I18" s="25"/>
      <c r="J18" s="8" t="s">
        <v>17</v>
      </c>
      <c r="K18" s="1"/>
      <c r="L18" s="1"/>
      <c r="M18" s="28"/>
      <c r="N18" s="31"/>
      <c r="O18" s="15"/>
      <c r="P18" s="14"/>
    </row>
    <row r="19" spans="1:16" ht="15" customHeight="1" thickBot="1" x14ac:dyDescent="0.35">
      <c r="A19" s="52">
        <f t="shared" si="0"/>
        <v>2026</v>
      </c>
      <c r="B19" s="1">
        <f t="shared" si="0"/>
        <v>13</v>
      </c>
      <c r="C19" s="1">
        <v>345</v>
      </c>
      <c r="D19" s="17">
        <v>46006</v>
      </c>
      <c r="E19" s="2">
        <v>8.1999999999999993</v>
      </c>
      <c r="F19" s="10">
        <v>77</v>
      </c>
      <c r="G19" s="36" t="s">
        <v>15</v>
      </c>
      <c r="H19" s="1" t="s">
        <v>16</v>
      </c>
      <c r="I19" s="25"/>
      <c r="J19" s="8" t="s">
        <v>17</v>
      </c>
      <c r="K19" s="1"/>
      <c r="L19" s="1"/>
      <c r="M19" s="28"/>
      <c r="N19" s="31"/>
      <c r="O19" s="15"/>
      <c r="P19" s="14"/>
    </row>
    <row r="20" spans="1:16" ht="15" customHeight="1" thickBot="1" x14ac:dyDescent="0.35">
      <c r="A20" s="52">
        <f t="shared" si="0"/>
        <v>2026</v>
      </c>
      <c r="B20" s="1">
        <f t="shared" si="0"/>
        <v>13</v>
      </c>
      <c r="C20" s="1">
        <v>346</v>
      </c>
      <c r="D20" s="17">
        <v>46006</v>
      </c>
      <c r="E20" s="2">
        <v>5.2</v>
      </c>
      <c r="F20" s="10">
        <v>74</v>
      </c>
      <c r="G20" s="36" t="s">
        <v>15</v>
      </c>
      <c r="H20" s="1" t="s">
        <v>16</v>
      </c>
      <c r="I20" s="25"/>
      <c r="J20" s="8" t="s">
        <v>17</v>
      </c>
      <c r="K20" s="1"/>
      <c r="L20" s="1"/>
      <c r="M20" s="28"/>
      <c r="N20" s="31"/>
      <c r="O20" s="15"/>
      <c r="P20" s="14"/>
    </row>
    <row r="21" spans="1:16" ht="15" customHeight="1" thickBot="1" x14ac:dyDescent="0.35">
      <c r="A21" s="52">
        <f t="shared" si="0"/>
        <v>2026</v>
      </c>
      <c r="B21" s="1">
        <f t="shared" si="0"/>
        <v>13</v>
      </c>
      <c r="C21" s="1">
        <v>347</v>
      </c>
      <c r="D21" s="17">
        <v>46006</v>
      </c>
      <c r="E21" s="2">
        <v>2.8</v>
      </c>
      <c r="F21" s="10">
        <v>168</v>
      </c>
      <c r="G21" s="36" t="s">
        <v>15</v>
      </c>
      <c r="H21" s="1" t="s">
        <v>16</v>
      </c>
      <c r="I21" s="25"/>
      <c r="J21" s="8" t="s">
        <v>17</v>
      </c>
      <c r="K21" s="1"/>
      <c r="L21" s="1"/>
      <c r="M21" s="28"/>
      <c r="N21" s="31"/>
      <c r="O21" s="15"/>
      <c r="P21" s="14"/>
    </row>
    <row r="22" spans="1:16" ht="15" customHeight="1" thickBot="1" x14ac:dyDescent="0.35">
      <c r="A22" s="52">
        <f t="shared" si="0"/>
        <v>2026</v>
      </c>
      <c r="B22" s="1">
        <f t="shared" si="0"/>
        <v>13</v>
      </c>
      <c r="C22" s="1">
        <v>348</v>
      </c>
      <c r="D22" s="17">
        <v>46006</v>
      </c>
      <c r="E22" s="2">
        <v>2.4</v>
      </c>
      <c r="F22" s="10">
        <v>159</v>
      </c>
      <c r="G22" s="36" t="s">
        <v>15</v>
      </c>
      <c r="H22" s="1" t="s">
        <v>16</v>
      </c>
      <c r="I22" s="25"/>
      <c r="J22" s="8" t="s">
        <v>17</v>
      </c>
      <c r="K22" s="1"/>
      <c r="L22" s="1"/>
      <c r="M22" s="28"/>
      <c r="N22" s="31"/>
      <c r="O22" s="15"/>
      <c r="P22" s="14"/>
    </row>
    <row r="23" spans="1:16" ht="15" customHeight="1" thickBot="1" x14ac:dyDescent="0.35">
      <c r="A23" s="52">
        <f t="shared" si="0"/>
        <v>2026</v>
      </c>
      <c r="B23" s="1">
        <f t="shared" si="0"/>
        <v>13</v>
      </c>
      <c r="C23" s="1">
        <v>349</v>
      </c>
      <c r="D23" s="17">
        <v>46006</v>
      </c>
      <c r="E23" s="2">
        <v>6.8</v>
      </c>
      <c r="F23" s="10">
        <v>136</v>
      </c>
      <c r="G23" s="36" t="s">
        <v>15</v>
      </c>
      <c r="H23" s="1" t="s">
        <v>16</v>
      </c>
      <c r="I23" s="25"/>
      <c r="J23" s="1" t="s">
        <v>17</v>
      </c>
      <c r="K23" s="1"/>
      <c r="L23" s="1"/>
      <c r="M23" s="28"/>
      <c r="N23" s="31"/>
      <c r="O23" s="15"/>
      <c r="P23" s="14"/>
    </row>
    <row r="24" spans="1:16" ht="15" customHeight="1" thickBot="1" x14ac:dyDescent="0.35">
      <c r="A24" s="52">
        <f t="shared" si="0"/>
        <v>2026</v>
      </c>
      <c r="B24" s="1">
        <f t="shared" si="0"/>
        <v>13</v>
      </c>
      <c r="C24" s="1">
        <v>401</v>
      </c>
      <c r="D24" s="53">
        <v>46006</v>
      </c>
      <c r="E24" s="2">
        <v>6.9</v>
      </c>
      <c r="F24" s="10">
        <v>78</v>
      </c>
      <c r="G24" s="36" t="s">
        <v>15</v>
      </c>
      <c r="H24" s="1" t="s">
        <v>16</v>
      </c>
      <c r="I24" s="25"/>
      <c r="J24" s="8" t="s">
        <v>17</v>
      </c>
      <c r="K24" s="1"/>
      <c r="L24" s="1"/>
      <c r="M24" s="28"/>
      <c r="N24" s="31"/>
      <c r="O24" s="15"/>
      <c r="P24" s="14"/>
    </row>
    <row r="25" spans="1:16" ht="15" customHeight="1" thickBot="1" x14ac:dyDescent="0.35">
      <c r="A25" s="52">
        <f t="shared" si="0"/>
        <v>2026</v>
      </c>
      <c r="B25" s="1">
        <f t="shared" si="0"/>
        <v>13</v>
      </c>
      <c r="C25" s="8">
        <v>404</v>
      </c>
      <c r="D25" s="18">
        <v>46007</v>
      </c>
      <c r="E25" s="2">
        <v>7.6</v>
      </c>
      <c r="F25" s="10">
        <v>80</v>
      </c>
      <c r="G25" s="36" t="s">
        <v>15</v>
      </c>
      <c r="H25" s="1" t="s">
        <v>16</v>
      </c>
      <c r="I25" s="25"/>
      <c r="J25" s="8" t="s">
        <v>17</v>
      </c>
      <c r="K25" s="1"/>
      <c r="L25" s="1"/>
      <c r="M25" s="28"/>
      <c r="N25" s="31"/>
      <c r="O25" s="15"/>
      <c r="P25" s="14"/>
    </row>
    <row r="26" spans="1:16" ht="15" customHeight="1" thickBot="1" x14ac:dyDescent="0.35">
      <c r="A26" s="52">
        <f t="shared" si="0"/>
        <v>2026</v>
      </c>
      <c r="B26" s="1">
        <f t="shared" si="0"/>
        <v>13</v>
      </c>
      <c r="C26" s="1">
        <v>405</v>
      </c>
      <c r="D26" s="17">
        <v>46007</v>
      </c>
      <c r="E26" s="2">
        <v>8.6</v>
      </c>
      <c r="F26" s="10">
        <v>76</v>
      </c>
      <c r="G26" s="36" t="s">
        <v>15</v>
      </c>
      <c r="H26" s="1" t="s">
        <v>16</v>
      </c>
      <c r="I26" s="25"/>
      <c r="J26" s="1" t="s">
        <v>17</v>
      </c>
      <c r="K26" s="1"/>
      <c r="L26" s="1"/>
      <c r="M26" s="28"/>
      <c r="N26" s="31"/>
      <c r="O26" s="15"/>
      <c r="P26" s="14"/>
    </row>
    <row r="27" spans="1:16" ht="15" customHeight="1" thickBot="1" x14ac:dyDescent="0.35">
      <c r="A27" s="52">
        <f t="shared" si="0"/>
        <v>2026</v>
      </c>
      <c r="B27" s="1">
        <f t="shared" si="0"/>
        <v>13</v>
      </c>
      <c r="C27" s="1">
        <v>411</v>
      </c>
      <c r="D27" s="17">
        <v>46008</v>
      </c>
      <c r="E27" s="2">
        <v>12.9</v>
      </c>
      <c r="F27" s="10">
        <v>68</v>
      </c>
      <c r="G27" s="36" t="s">
        <v>15</v>
      </c>
      <c r="H27" s="1" t="s">
        <v>16</v>
      </c>
      <c r="I27" s="25"/>
      <c r="J27" s="1" t="s">
        <v>17</v>
      </c>
      <c r="K27" s="1"/>
      <c r="L27" s="1"/>
      <c r="M27" s="28"/>
      <c r="N27" s="31"/>
      <c r="O27" s="15"/>
      <c r="P27" s="14"/>
    </row>
    <row r="28" spans="1:16" ht="15" customHeight="1" thickBot="1" x14ac:dyDescent="0.35">
      <c r="A28" s="52">
        <f t="shared" si="0"/>
        <v>2026</v>
      </c>
      <c r="B28" s="1">
        <f t="shared" si="0"/>
        <v>13</v>
      </c>
      <c r="C28" s="1">
        <v>418</v>
      </c>
      <c r="D28" s="17">
        <v>46008</v>
      </c>
      <c r="E28" s="2">
        <v>7.3</v>
      </c>
      <c r="F28" s="10">
        <v>77</v>
      </c>
      <c r="G28" s="36" t="s">
        <v>15</v>
      </c>
      <c r="H28" s="1" t="s">
        <v>16</v>
      </c>
      <c r="I28" s="25"/>
      <c r="J28" s="1" t="s">
        <v>17</v>
      </c>
      <c r="K28" s="1"/>
      <c r="L28" s="1"/>
      <c r="M28" s="28"/>
      <c r="N28" s="31"/>
      <c r="O28" s="15"/>
      <c r="P28" s="14"/>
    </row>
    <row r="29" spans="1:16" ht="15" customHeight="1" thickBot="1" x14ac:dyDescent="0.35">
      <c r="A29" s="52">
        <f t="shared" si="0"/>
        <v>2026</v>
      </c>
      <c r="B29" s="1">
        <f t="shared" si="0"/>
        <v>13</v>
      </c>
      <c r="C29" s="1">
        <v>501</v>
      </c>
      <c r="D29" s="17">
        <v>46008</v>
      </c>
      <c r="E29" s="2">
        <v>22.8</v>
      </c>
      <c r="F29" s="10">
        <v>53</v>
      </c>
      <c r="G29" s="36" t="s">
        <v>15</v>
      </c>
      <c r="H29" s="1" t="s">
        <v>16</v>
      </c>
      <c r="I29" s="25"/>
      <c r="J29" s="1" t="s">
        <v>17</v>
      </c>
      <c r="K29" s="1"/>
      <c r="L29" s="1"/>
      <c r="M29" s="28"/>
      <c r="N29" s="31"/>
      <c r="O29" s="15"/>
      <c r="P29" s="14"/>
    </row>
    <row r="30" spans="1:16" ht="15" customHeight="1" thickBot="1" x14ac:dyDescent="0.35">
      <c r="A30" s="52">
        <f t="shared" si="0"/>
        <v>2026</v>
      </c>
      <c r="B30" s="1">
        <f t="shared" si="0"/>
        <v>13</v>
      </c>
      <c r="C30" s="1">
        <v>504</v>
      </c>
      <c r="D30" s="17">
        <v>46008</v>
      </c>
      <c r="E30" s="2">
        <v>12.4</v>
      </c>
      <c r="F30" s="10">
        <v>53</v>
      </c>
      <c r="G30" s="36" t="s">
        <v>15</v>
      </c>
      <c r="H30" s="1" t="s">
        <v>16</v>
      </c>
      <c r="I30" s="25"/>
      <c r="J30" s="1" t="s">
        <v>17</v>
      </c>
      <c r="K30" s="1"/>
      <c r="L30" s="1"/>
      <c r="M30" s="28"/>
      <c r="N30" s="31"/>
      <c r="O30" s="15"/>
      <c r="P30" s="14"/>
    </row>
    <row r="31" spans="1:16" ht="15" customHeight="1" thickBot="1" x14ac:dyDescent="0.35">
      <c r="A31" s="52">
        <f t="shared" si="0"/>
        <v>2026</v>
      </c>
      <c r="B31" s="1">
        <f t="shared" si="0"/>
        <v>13</v>
      </c>
      <c r="C31" s="1">
        <v>508</v>
      </c>
      <c r="D31" s="17">
        <v>46008</v>
      </c>
      <c r="E31" s="2">
        <v>14.9</v>
      </c>
      <c r="F31" s="10">
        <v>49</v>
      </c>
      <c r="G31" s="36" t="s">
        <v>15</v>
      </c>
      <c r="H31" s="1" t="s">
        <v>16</v>
      </c>
      <c r="I31" s="38"/>
      <c r="J31" s="54" t="s">
        <v>17</v>
      </c>
      <c r="K31" s="1"/>
      <c r="L31" s="1"/>
      <c r="M31" s="2"/>
      <c r="N31" s="31"/>
      <c r="O31" s="15"/>
      <c r="P31" s="14"/>
    </row>
    <row r="32" spans="1:16" ht="15" customHeight="1" thickBot="1" x14ac:dyDescent="0.35">
      <c r="A32" s="52">
        <f t="shared" si="0"/>
        <v>2026</v>
      </c>
      <c r="B32" s="1">
        <f t="shared" si="0"/>
        <v>13</v>
      </c>
      <c r="C32" s="1">
        <v>513</v>
      </c>
      <c r="D32" s="17">
        <v>46006</v>
      </c>
      <c r="E32" s="2">
        <v>10.1</v>
      </c>
      <c r="F32" s="10">
        <v>57</v>
      </c>
      <c r="G32" s="36" t="s">
        <v>15</v>
      </c>
      <c r="H32" s="1" t="s">
        <v>19</v>
      </c>
      <c r="I32" s="38">
        <v>1</v>
      </c>
      <c r="J32" s="55" t="s">
        <v>17</v>
      </c>
      <c r="K32" s="1">
        <v>6</v>
      </c>
      <c r="L32" s="1">
        <v>6</v>
      </c>
      <c r="M32" s="2">
        <v>6</v>
      </c>
      <c r="N32" s="31">
        <v>1</v>
      </c>
      <c r="O32" s="14"/>
      <c r="P32" s="14"/>
    </row>
    <row r="33" spans="1:16" ht="15" customHeight="1" thickBot="1" x14ac:dyDescent="0.35">
      <c r="A33" s="52">
        <f t="shared" si="0"/>
        <v>2026</v>
      </c>
      <c r="B33" s="1">
        <f t="shared" si="0"/>
        <v>13</v>
      </c>
      <c r="C33" s="1">
        <v>519</v>
      </c>
      <c r="D33" s="17">
        <v>46008</v>
      </c>
      <c r="E33" s="2">
        <v>19.7</v>
      </c>
      <c r="F33" s="10">
        <v>44</v>
      </c>
      <c r="G33" s="36" t="s">
        <v>15</v>
      </c>
      <c r="H33" s="1" t="s">
        <v>16</v>
      </c>
      <c r="I33" s="25"/>
      <c r="J33" s="1" t="s">
        <v>17</v>
      </c>
      <c r="K33" s="1"/>
      <c r="L33" s="1"/>
      <c r="M33" s="28"/>
      <c r="N33" s="31"/>
      <c r="O33" s="15"/>
      <c r="P33" s="14"/>
    </row>
    <row r="34" spans="1:16" ht="15" customHeight="1" thickBot="1" x14ac:dyDescent="0.35">
      <c r="A34" s="52">
        <f t="shared" si="0"/>
        <v>2026</v>
      </c>
      <c r="B34" s="1">
        <f t="shared" si="0"/>
        <v>13</v>
      </c>
      <c r="C34" s="1">
        <v>520</v>
      </c>
      <c r="D34" s="17">
        <v>46007</v>
      </c>
      <c r="E34" s="2">
        <v>8.1999999999999993</v>
      </c>
      <c r="F34" s="10">
        <v>68</v>
      </c>
      <c r="G34" s="36" t="s">
        <v>15</v>
      </c>
      <c r="H34" s="1" t="s">
        <v>16</v>
      </c>
      <c r="I34" s="25"/>
      <c r="J34" s="1" t="s">
        <v>17</v>
      </c>
      <c r="K34" s="1"/>
      <c r="L34" s="1"/>
      <c r="M34" s="28"/>
      <c r="N34" s="31"/>
      <c r="O34" s="15"/>
      <c r="P34" s="14"/>
    </row>
    <row r="35" spans="1:16" ht="15" customHeight="1" thickBot="1" x14ac:dyDescent="0.35">
      <c r="A35" s="52">
        <f t="shared" si="0"/>
        <v>2026</v>
      </c>
      <c r="B35" s="1">
        <f t="shared" si="0"/>
        <v>13</v>
      </c>
      <c r="C35" s="1">
        <v>602</v>
      </c>
      <c r="D35" s="17">
        <v>46008</v>
      </c>
      <c r="E35" s="2">
        <v>12.9</v>
      </c>
      <c r="F35" s="10">
        <v>64</v>
      </c>
      <c r="G35" s="36" t="s">
        <v>15</v>
      </c>
      <c r="H35" s="1" t="s">
        <v>16</v>
      </c>
      <c r="I35" s="25"/>
      <c r="J35" s="1" t="s">
        <v>17</v>
      </c>
      <c r="K35" s="1"/>
      <c r="L35" s="1"/>
      <c r="M35" s="28"/>
      <c r="N35" s="31"/>
      <c r="O35" s="15"/>
      <c r="P35" s="14"/>
    </row>
    <row r="36" spans="1:16" ht="15" customHeight="1" x14ac:dyDescent="0.3">
      <c r="A36" s="52">
        <f t="shared" si="0"/>
        <v>2026</v>
      </c>
      <c r="B36" s="1">
        <f t="shared" si="0"/>
        <v>13</v>
      </c>
      <c r="C36" s="1">
        <v>606</v>
      </c>
      <c r="D36" s="17">
        <v>46008</v>
      </c>
      <c r="E36" s="2">
        <v>14.6</v>
      </c>
      <c r="F36" s="10">
        <v>55</v>
      </c>
      <c r="G36" s="36" t="s">
        <v>15</v>
      </c>
      <c r="H36" s="1" t="s">
        <v>16</v>
      </c>
      <c r="I36" s="25"/>
      <c r="J36" s="1" t="s">
        <v>17</v>
      </c>
      <c r="K36" s="1"/>
      <c r="L36" s="1"/>
      <c r="M36" s="28"/>
      <c r="N36" s="31"/>
      <c r="O36" s="14"/>
      <c r="P36" s="14"/>
    </row>
    <row r="37" spans="1:16" ht="15" customHeight="1" x14ac:dyDescent="0.3">
      <c r="A37" s="52">
        <f t="shared" si="0"/>
        <v>2026</v>
      </c>
      <c r="B37" s="1">
        <f t="shared" si="0"/>
        <v>13</v>
      </c>
      <c r="C37" s="1">
        <v>609</v>
      </c>
      <c r="D37" s="17">
        <v>46008</v>
      </c>
      <c r="E37" s="2">
        <v>14.4</v>
      </c>
      <c r="F37" s="10">
        <v>52</v>
      </c>
      <c r="G37" s="36" t="s">
        <v>15</v>
      </c>
      <c r="H37" s="1" t="s">
        <v>16</v>
      </c>
      <c r="I37" s="38"/>
      <c r="J37" s="1" t="s">
        <v>17</v>
      </c>
      <c r="K37" s="1"/>
      <c r="L37" s="1"/>
      <c r="M37" s="28"/>
      <c r="N37" s="31"/>
      <c r="O37" s="14"/>
      <c r="P37" s="14"/>
    </row>
    <row r="38" spans="1:16" ht="15" customHeight="1" x14ac:dyDescent="0.3">
      <c r="A38" s="52">
        <f t="shared" si="0"/>
        <v>2026</v>
      </c>
      <c r="B38" s="1">
        <f t="shared" si="0"/>
        <v>13</v>
      </c>
      <c r="C38" s="1">
        <v>610</v>
      </c>
      <c r="D38" s="17">
        <v>46008</v>
      </c>
      <c r="E38" s="2">
        <v>16.7</v>
      </c>
      <c r="F38" s="10">
        <v>49</v>
      </c>
      <c r="G38" s="36" t="s">
        <v>15</v>
      </c>
      <c r="H38" s="1" t="s">
        <v>16</v>
      </c>
      <c r="I38" s="38"/>
      <c r="J38" s="1" t="s">
        <v>17</v>
      </c>
      <c r="K38" s="1"/>
      <c r="L38" s="1"/>
      <c r="M38" s="28"/>
      <c r="N38" s="31"/>
      <c r="O38" s="14"/>
      <c r="P38" s="14"/>
    </row>
    <row r="39" spans="1:16" ht="15" customHeight="1" x14ac:dyDescent="0.3">
      <c r="A39" s="52">
        <f t="shared" si="0"/>
        <v>2026</v>
      </c>
      <c r="B39" s="1">
        <f t="shared" si="0"/>
        <v>13</v>
      </c>
      <c r="C39" s="1">
        <v>703</v>
      </c>
      <c r="D39" s="17">
        <v>46007</v>
      </c>
      <c r="E39" s="2">
        <v>10.1</v>
      </c>
      <c r="F39" s="10">
        <v>67</v>
      </c>
      <c r="G39" s="36" t="s">
        <v>15</v>
      </c>
      <c r="H39" s="1" t="s">
        <v>19</v>
      </c>
      <c r="I39" s="25">
        <v>1</v>
      </c>
      <c r="J39" s="1" t="s">
        <v>17</v>
      </c>
      <c r="K39" s="1">
        <v>8</v>
      </c>
      <c r="L39" s="1">
        <v>8</v>
      </c>
      <c r="M39" s="28">
        <v>8</v>
      </c>
      <c r="N39" s="31">
        <v>1</v>
      </c>
      <c r="P39" s="14"/>
    </row>
    <row r="40" spans="1:16" ht="15" customHeight="1" x14ac:dyDescent="0.3">
      <c r="A40" s="52">
        <f t="shared" si="0"/>
        <v>2026</v>
      </c>
      <c r="B40" s="1">
        <f t="shared" si="0"/>
        <v>13</v>
      </c>
      <c r="C40" s="1">
        <v>704</v>
      </c>
      <c r="D40" s="17">
        <v>46007</v>
      </c>
      <c r="E40" s="2">
        <v>14.6</v>
      </c>
      <c r="F40" s="10">
        <v>53</v>
      </c>
      <c r="G40" s="36" t="s">
        <v>15</v>
      </c>
      <c r="H40" s="1" t="s">
        <v>16</v>
      </c>
      <c r="I40" s="25"/>
      <c r="J40" s="1" t="s">
        <v>17</v>
      </c>
      <c r="K40" s="1"/>
      <c r="L40" s="1"/>
      <c r="M40" s="28"/>
      <c r="N40" s="31"/>
      <c r="O40" s="14"/>
      <c r="P40" s="14"/>
    </row>
    <row r="41" spans="1:16" ht="15" customHeight="1" x14ac:dyDescent="0.3">
      <c r="A41" s="52">
        <f t="shared" si="0"/>
        <v>2026</v>
      </c>
      <c r="B41" s="1">
        <f t="shared" si="0"/>
        <v>13</v>
      </c>
      <c r="C41" s="1">
        <v>705</v>
      </c>
      <c r="D41" s="17">
        <v>46007</v>
      </c>
      <c r="E41" s="2">
        <v>4.5</v>
      </c>
      <c r="F41" s="10">
        <v>142</v>
      </c>
      <c r="G41" s="36" t="s">
        <v>15</v>
      </c>
      <c r="H41" s="1" t="s">
        <v>16</v>
      </c>
      <c r="I41" s="25"/>
      <c r="J41" s="1" t="s">
        <v>17</v>
      </c>
      <c r="K41" s="1"/>
      <c r="L41" s="1"/>
      <c r="M41" s="28"/>
      <c r="N41" s="31"/>
      <c r="O41" s="14"/>
      <c r="P41" s="14"/>
    </row>
    <row r="42" spans="1:16" ht="15" customHeight="1" x14ac:dyDescent="0.3">
      <c r="A42" s="52">
        <f t="shared" si="0"/>
        <v>2026</v>
      </c>
      <c r="B42" s="1">
        <f t="shared" si="0"/>
        <v>13</v>
      </c>
      <c r="C42" s="1">
        <v>706</v>
      </c>
      <c r="D42" s="17">
        <v>46007</v>
      </c>
      <c r="E42" s="2">
        <v>7.5</v>
      </c>
      <c r="F42" s="10">
        <v>73</v>
      </c>
      <c r="G42" s="36" t="s">
        <v>15</v>
      </c>
      <c r="H42" s="1" t="s">
        <v>16</v>
      </c>
      <c r="I42" s="25"/>
      <c r="J42" s="1" t="s">
        <v>17</v>
      </c>
      <c r="K42" s="1"/>
      <c r="L42" s="1"/>
      <c r="M42" s="28"/>
      <c r="N42" s="31"/>
      <c r="O42" s="14"/>
      <c r="P42" s="14"/>
    </row>
    <row r="43" spans="1:16" ht="15" customHeight="1" x14ac:dyDescent="0.3">
      <c r="A43" s="52">
        <f t="shared" si="0"/>
        <v>2026</v>
      </c>
      <c r="B43" s="1">
        <f t="shared" si="0"/>
        <v>13</v>
      </c>
      <c r="C43" s="1">
        <v>707</v>
      </c>
      <c r="D43" s="17">
        <v>46007</v>
      </c>
      <c r="E43" s="2">
        <v>4</v>
      </c>
      <c r="F43" s="10">
        <v>165</v>
      </c>
      <c r="G43" s="36" t="s">
        <v>15</v>
      </c>
      <c r="H43" s="1" t="s">
        <v>19</v>
      </c>
      <c r="I43" s="25">
        <v>1</v>
      </c>
      <c r="J43" s="1" t="s">
        <v>17</v>
      </c>
      <c r="K43" s="1">
        <v>6</v>
      </c>
      <c r="L43" s="1">
        <v>6</v>
      </c>
      <c r="M43" s="28">
        <v>6</v>
      </c>
      <c r="N43" s="31">
        <v>1</v>
      </c>
      <c r="O43" s="14"/>
      <c r="P43" s="14"/>
    </row>
    <row r="44" spans="1:16" ht="15" customHeight="1" thickBot="1" x14ac:dyDescent="0.35">
      <c r="A44" s="52">
        <f t="shared" si="0"/>
        <v>2026</v>
      </c>
      <c r="B44" s="1">
        <f t="shared" si="0"/>
        <v>13</v>
      </c>
      <c r="C44" s="1">
        <v>711</v>
      </c>
      <c r="D44" s="17">
        <v>46007</v>
      </c>
      <c r="E44" s="2">
        <v>4.5</v>
      </c>
      <c r="F44" s="10">
        <v>200</v>
      </c>
      <c r="G44" s="36" t="s">
        <v>15</v>
      </c>
      <c r="H44" s="1" t="s">
        <v>16</v>
      </c>
      <c r="I44" s="25"/>
      <c r="J44" s="1" t="s">
        <v>17</v>
      </c>
      <c r="K44" s="1"/>
      <c r="L44" s="1"/>
      <c r="M44" s="28"/>
      <c r="N44" s="31"/>
      <c r="O44" s="14"/>
      <c r="P44" s="14"/>
    </row>
    <row r="45" spans="1:16" ht="15" customHeight="1" thickBot="1" x14ac:dyDescent="0.35">
      <c r="A45" s="52">
        <f t="shared" si="0"/>
        <v>2026</v>
      </c>
      <c r="B45" s="1">
        <f t="shared" si="0"/>
        <v>13</v>
      </c>
      <c r="C45" s="1">
        <v>716</v>
      </c>
      <c r="D45" s="17">
        <v>46007</v>
      </c>
      <c r="E45" s="2">
        <v>3.8</v>
      </c>
      <c r="F45" s="10">
        <v>200</v>
      </c>
      <c r="G45" s="36" t="s">
        <v>15</v>
      </c>
      <c r="H45" s="1" t="s">
        <v>16</v>
      </c>
      <c r="I45" s="25"/>
      <c r="J45" s="1" t="s">
        <v>17</v>
      </c>
      <c r="K45" s="1"/>
      <c r="L45" s="1"/>
      <c r="M45" s="28"/>
      <c r="N45" s="31"/>
      <c r="O45" s="77"/>
      <c r="P45" s="14"/>
    </row>
    <row r="46" spans="1:16" ht="15" customHeight="1" x14ac:dyDescent="0.3">
      <c r="A46" s="52">
        <f t="shared" si="0"/>
        <v>2026</v>
      </c>
      <c r="B46" s="1">
        <f t="shared" si="0"/>
        <v>13</v>
      </c>
      <c r="C46" s="1">
        <v>723</v>
      </c>
      <c r="D46" s="17">
        <v>46007</v>
      </c>
      <c r="E46" s="2">
        <v>4.4000000000000004</v>
      </c>
      <c r="F46" s="10">
        <v>200</v>
      </c>
      <c r="G46" s="36" t="s">
        <v>15</v>
      </c>
      <c r="H46" s="1" t="s">
        <v>16</v>
      </c>
      <c r="I46" s="25"/>
      <c r="J46" s="1" t="s">
        <v>17</v>
      </c>
      <c r="K46" s="1"/>
      <c r="L46" s="1"/>
      <c r="M46" s="28"/>
      <c r="N46" s="31"/>
      <c r="O46" s="14"/>
      <c r="P46" s="14"/>
    </row>
    <row r="47" spans="1:16" ht="15" customHeight="1" x14ac:dyDescent="0.3">
      <c r="A47" s="52">
        <f t="shared" si="0"/>
        <v>2026</v>
      </c>
      <c r="B47" s="1">
        <f t="shared" si="0"/>
        <v>13</v>
      </c>
      <c r="C47" s="1">
        <v>801</v>
      </c>
      <c r="D47" s="17">
        <v>46008</v>
      </c>
      <c r="E47" s="2">
        <v>7.5</v>
      </c>
      <c r="F47" s="10">
        <v>79</v>
      </c>
      <c r="G47" s="36" t="s">
        <v>15</v>
      </c>
      <c r="H47" s="1" t="s">
        <v>16</v>
      </c>
      <c r="I47" s="25"/>
      <c r="J47" s="1" t="s">
        <v>17</v>
      </c>
      <c r="K47" s="1"/>
      <c r="L47" s="1"/>
      <c r="M47" s="28"/>
      <c r="N47" s="31"/>
      <c r="O47" s="7"/>
      <c r="P47" s="14"/>
    </row>
    <row r="48" spans="1:16" ht="15" customHeight="1" thickBot="1" x14ac:dyDescent="0.35">
      <c r="A48" s="52">
        <f t="shared" si="0"/>
        <v>2026</v>
      </c>
      <c r="B48" s="1">
        <f t="shared" si="0"/>
        <v>13</v>
      </c>
      <c r="C48" s="1">
        <v>804</v>
      </c>
      <c r="D48" s="17">
        <v>46007</v>
      </c>
      <c r="E48" s="2">
        <v>9.6</v>
      </c>
      <c r="F48" s="10">
        <v>63</v>
      </c>
      <c r="G48" s="36" t="s">
        <v>15</v>
      </c>
      <c r="H48" s="1" t="s">
        <v>16</v>
      </c>
      <c r="I48" s="25"/>
      <c r="J48" s="1" t="s">
        <v>17</v>
      </c>
      <c r="K48" s="1"/>
      <c r="L48" s="1"/>
      <c r="M48" s="28"/>
      <c r="N48" s="31"/>
      <c r="O48" s="14"/>
      <c r="P48" s="14"/>
    </row>
    <row r="49" spans="1:16" ht="15" customHeight="1" x14ac:dyDescent="0.3">
      <c r="A49" s="74">
        <f t="shared" si="0"/>
        <v>2026</v>
      </c>
      <c r="B49" s="44">
        <f t="shared" si="0"/>
        <v>13</v>
      </c>
      <c r="C49" s="45">
        <v>809</v>
      </c>
      <c r="D49" s="19">
        <v>46006</v>
      </c>
      <c r="E49" s="4">
        <v>4</v>
      </c>
      <c r="F49" s="11">
        <v>152</v>
      </c>
      <c r="G49" s="37" t="s">
        <v>15</v>
      </c>
      <c r="H49" s="3" t="s">
        <v>16</v>
      </c>
      <c r="I49" s="26"/>
      <c r="J49" s="3" t="s">
        <v>17</v>
      </c>
      <c r="K49" s="3"/>
      <c r="L49" s="3"/>
      <c r="M49" s="29"/>
      <c r="N49" s="32"/>
      <c r="O49" s="96" t="s">
        <v>14</v>
      </c>
      <c r="P49" s="14"/>
    </row>
    <row r="50" spans="1:16" ht="15" customHeight="1" x14ac:dyDescent="0.3">
      <c r="A50" s="74">
        <f t="shared" si="0"/>
        <v>2026</v>
      </c>
      <c r="B50" s="44">
        <f t="shared" si="0"/>
        <v>13</v>
      </c>
      <c r="C50" s="45">
        <v>812</v>
      </c>
      <c r="D50" s="19">
        <v>46006</v>
      </c>
      <c r="E50" s="4">
        <v>4.4000000000000004</v>
      </c>
      <c r="F50" s="11">
        <v>150</v>
      </c>
      <c r="G50" s="37" t="s">
        <v>15</v>
      </c>
      <c r="H50" s="3" t="s">
        <v>16</v>
      </c>
      <c r="I50" s="26"/>
      <c r="J50" s="3" t="s">
        <v>17</v>
      </c>
      <c r="K50" s="3"/>
      <c r="L50" s="3"/>
      <c r="M50" s="29"/>
      <c r="N50" s="32"/>
      <c r="O50" s="97"/>
      <c r="P50" s="14"/>
    </row>
    <row r="51" spans="1:16" ht="15" customHeight="1" x14ac:dyDescent="0.3">
      <c r="A51" s="52">
        <f t="shared" si="0"/>
        <v>2026</v>
      </c>
      <c r="B51" s="1">
        <f t="shared" si="0"/>
        <v>13</v>
      </c>
      <c r="C51" s="1">
        <v>815</v>
      </c>
      <c r="D51" s="17">
        <v>46006</v>
      </c>
      <c r="E51" s="2">
        <v>3.5</v>
      </c>
      <c r="F51" s="10">
        <v>141</v>
      </c>
      <c r="G51" s="36" t="s">
        <v>15</v>
      </c>
      <c r="H51" s="1" t="s">
        <v>16</v>
      </c>
      <c r="I51" s="25"/>
      <c r="J51" s="1" t="s">
        <v>17</v>
      </c>
      <c r="K51" s="1"/>
      <c r="L51" s="1"/>
      <c r="M51" s="28"/>
      <c r="N51" s="31"/>
      <c r="O51" s="66"/>
      <c r="P51" s="14"/>
    </row>
    <row r="52" spans="1:16" ht="15" customHeight="1" x14ac:dyDescent="0.3">
      <c r="A52" s="52">
        <f t="shared" si="0"/>
        <v>2026</v>
      </c>
      <c r="B52" s="1">
        <f t="shared" si="0"/>
        <v>13</v>
      </c>
      <c r="C52" s="1" t="s">
        <v>24</v>
      </c>
      <c r="D52" s="17">
        <v>46006</v>
      </c>
      <c r="E52" s="2">
        <v>3.8</v>
      </c>
      <c r="F52" s="10">
        <v>135</v>
      </c>
      <c r="G52" s="36" t="s">
        <v>15</v>
      </c>
      <c r="H52" s="1" t="s">
        <v>16</v>
      </c>
      <c r="I52" s="10"/>
      <c r="J52" s="1" t="s">
        <v>17</v>
      </c>
      <c r="K52" s="1"/>
      <c r="L52" s="1"/>
      <c r="M52" s="28"/>
      <c r="N52" s="31"/>
      <c r="O52" s="66"/>
      <c r="P52" s="14"/>
    </row>
    <row r="53" spans="1:16" ht="15" customHeight="1" x14ac:dyDescent="0.3">
      <c r="A53" s="52">
        <f t="shared" si="0"/>
        <v>2026</v>
      </c>
      <c r="B53" s="1">
        <f t="shared" si="0"/>
        <v>13</v>
      </c>
      <c r="C53" s="1" t="s">
        <v>25</v>
      </c>
      <c r="D53" s="17">
        <v>46006</v>
      </c>
      <c r="E53" s="2">
        <v>1.8</v>
      </c>
      <c r="F53" s="10">
        <v>200</v>
      </c>
      <c r="G53" s="36" t="s">
        <v>15</v>
      </c>
      <c r="H53" s="1" t="s">
        <v>16</v>
      </c>
      <c r="I53" s="10"/>
      <c r="J53" s="1" t="s">
        <v>17</v>
      </c>
      <c r="K53" s="1"/>
      <c r="L53" s="1"/>
      <c r="M53" s="28"/>
      <c r="N53" s="31"/>
      <c r="O53" s="66"/>
      <c r="P53" s="14"/>
    </row>
    <row r="54" spans="1:16" ht="15" customHeight="1" x14ac:dyDescent="0.3">
      <c r="A54" s="52">
        <f t="shared" si="0"/>
        <v>2026</v>
      </c>
      <c r="B54" s="1">
        <f t="shared" si="0"/>
        <v>13</v>
      </c>
      <c r="C54" s="1">
        <v>906</v>
      </c>
      <c r="D54" s="17">
        <v>46006</v>
      </c>
      <c r="E54" s="2">
        <v>7.2</v>
      </c>
      <c r="F54" s="10">
        <v>137</v>
      </c>
      <c r="G54" s="36" t="s">
        <v>15</v>
      </c>
      <c r="H54" s="1" t="s">
        <v>16</v>
      </c>
      <c r="I54" s="10"/>
      <c r="J54" s="1" t="s">
        <v>17</v>
      </c>
      <c r="K54" s="1"/>
      <c r="L54" s="1"/>
      <c r="M54" s="28"/>
      <c r="N54" s="31"/>
      <c r="O54" s="66"/>
      <c r="P54" s="14"/>
    </row>
    <row r="55" spans="1:16" ht="15" customHeight="1" x14ac:dyDescent="0.3">
      <c r="A55" s="52">
        <f t="shared" si="0"/>
        <v>2026</v>
      </c>
      <c r="B55" s="1">
        <f t="shared" si="0"/>
        <v>13</v>
      </c>
      <c r="C55" s="1">
        <v>910</v>
      </c>
      <c r="D55" s="17">
        <v>46006</v>
      </c>
      <c r="E55" s="2">
        <v>5.4</v>
      </c>
      <c r="F55" s="10">
        <v>130</v>
      </c>
      <c r="G55" s="36" t="s">
        <v>15</v>
      </c>
      <c r="H55" s="1" t="s">
        <v>16</v>
      </c>
      <c r="I55" s="10"/>
      <c r="J55" s="1" t="s">
        <v>17</v>
      </c>
      <c r="K55" s="1"/>
      <c r="L55" s="1"/>
      <c r="M55" s="28"/>
      <c r="N55" s="31"/>
      <c r="O55" s="66"/>
      <c r="P55" s="14"/>
    </row>
    <row r="56" spans="1:16" ht="15" customHeight="1" x14ac:dyDescent="0.3">
      <c r="A56" s="52">
        <f t="shared" si="0"/>
        <v>2026</v>
      </c>
      <c r="B56" s="1">
        <f t="shared" si="0"/>
        <v>13</v>
      </c>
      <c r="C56" s="1">
        <v>912</v>
      </c>
      <c r="D56" s="17">
        <v>46006</v>
      </c>
      <c r="E56" s="2">
        <v>11.7</v>
      </c>
      <c r="F56" s="10">
        <v>56</v>
      </c>
      <c r="G56" s="36" t="s">
        <v>15</v>
      </c>
      <c r="H56" s="1" t="s">
        <v>16</v>
      </c>
      <c r="I56" s="10"/>
      <c r="J56" s="1" t="s">
        <v>17</v>
      </c>
      <c r="K56" s="1"/>
      <c r="L56" s="1"/>
      <c r="M56" s="28"/>
      <c r="N56" s="31"/>
      <c r="O56" s="66"/>
      <c r="P56" s="14"/>
    </row>
    <row r="57" spans="1:16" ht="15" customHeight="1" x14ac:dyDescent="0.3">
      <c r="A57" s="52">
        <f t="shared" si="0"/>
        <v>2026</v>
      </c>
      <c r="B57" s="1">
        <f t="shared" si="0"/>
        <v>13</v>
      </c>
      <c r="C57" s="1">
        <v>914</v>
      </c>
      <c r="D57" s="17">
        <v>46006</v>
      </c>
      <c r="E57" s="2">
        <v>2.1</v>
      </c>
      <c r="F57" s="10">
        <v>200</v>
      </c>
      <c r="G57" s="36" t="s">
        <v>15</v>
      </c>
      <c r="H57" s="1" t="s">
        <v>16</v>
      </c>
      <c r="I57" s="10"/>
      <c r="J57" s="1" t="s">
        <v>17</v>
      </c>
      <c r="K57" s="1"/>
      <c r="L57" s="1"/>
      <c r="M57" s="28"/>
      <c r="N57" s="31"/>
      <c r="O57" s="66"/>
      <c r="P57" s="14"/>
    </row>
    <row r="58" spans="1:16" ht="15" customHeight="1" x14ac:dyDescent="0.3">
      <c r="A58" s="52">
        <f t="shared" si="0"/>
        <v>2026</v>
      </c>
      <c r="B58" s="1">
        <f t="shared" si="0"/>
        <v>13</v>
      </c>
      <c r="C58" s="1">
        <v>915</v>
      </c>
      <c r="D58" s="17">
        <v>46006</v>
      </c>
      <c r="E58" s="2">
        <v>1.9</v>
      </c>
      <c r="F58" s="10">
        <v>200</v>
      </c>
      <c r="G58" s="36" t="s">
        <v>15</v>
      </c>
      <c r="H58" s="1" t="s">
        <v>16</v>
      </c>
      <c r="I58" s="10"/>
      <c r="J58" s="1" t="s">
        <v>17</v>
      </c>
      <c r="K58" s="1"/>
      <c r="L58" s="1"/>
      <c r="M58" s="28"/>
      <c r="N58" s="31"/>
      <c r="O58" s="66"/>
      <c r="P58" s="14"/>
    </row>
    <row r="59" spans="1:16" ht="15" customHeight="1" x14ac:dyDescent="0.3">
      <c r="A59" s="52">
        <f t="shared" si="0"/>
        <v>2026</v>
      </c>
      <c r="B59" s="1">
        <f t="shared" si="0"/>
        <v>13</v>
      </c>
      <c r="C59" s="1">
        <v>918</v>
      </c>
      <c r="D59" s="17">
        <v>46006</v>
      </c>
      <c r="E59" s="2">
        <v>2.1</v>
      </c>
      <c r="F59" s="10">
        <v>200</v>
      </c>
      <c r="G59" s="36" t="s">
        <v>15</v>
      </c>
      <c r="H59" s="1" t="s">
        <v>16</v>
      </c>
      <c r="I59" s="10"/>
      <c r="J59" s="1" t="s">
        <v>17</v>
      </c>
      <c r="K59" s="1"/>
      <c r="L59" s="1"/>
      <c r="M59" s="28"/>
      <c r="N59" s="31"/>
      <c r="O59" s="66"/>
      <c r="P59" s="14"/>
    </row>
    <row r="60" spans="1:16" ht="15" customHeight="1" thickBot="1" x14ac:dyDescent="0.35">
      <c r="A60" s="75">
        <f t="shared" si="0"/>
        <v>2026</v>
      </c>
      <c r="B60" s="67">
        <f t="shared" si="0"/>
        <v>13</v>
      </c>
      <c r="C60" s="67">
        <v>919</v>
      </c>
      <c r="D60" s="68">
        <v>46006</v>
      </c>
      <c r="E60" s="69">
        <v>3</v>
      </c>
      <c r="F60" s="70">
        <v>165</v>
      </c>
      <c r="G60" s="71" t="s">
        <v>15</v>
      </c>
      <c r="H60" s="67" t="s">
        <v>16</v>
      </c>
      <c r="I60" s="70"/>
      <c r="J60" s="67" t="s">
        <v>17</v>
      </c>
      <c r="K60" s="67"/>
      <c r="L60" s="67"/>
      <c r="M60" s="72"/>
      <c r="N60" s="73"/>
      <c r="O60" s="66"/>
      <c r="P60" s="14"/>
    </row>
    <row r="61" spans="1:16" ht="18" customHeight="1" x14ac:dyDescent="0.3">
      <c r="A61" s="79" t="s">
        <v>21</v>
      </c>
      <c r="B61" s="80"/>
      <c r="C61" s="80"/>
      <c r="D61" s="80"/>
      <c r="E61" s="16"/>
      <c r="F61" s="35"/>
      <c r="G61" s="16"/>
      <c r="H61" s="5"/>
      <c r="I61" s="35"/>
      <c r="J61" s="6"/>
      <c r="K61" s="6"/>
      <c r="L61" s="6"/>
      <c r="M61" s="42"/>
      <c r="N61" s="6"/>
      <c r="O61" s="14"/>
    </row>
    <row r="62" spans="1:16" ht="18.75" customHeight="1" x14ac:dyDescent="0.3">
      <c r="A62" s="79" t="s">
        <v>22</v>
      </c>
      <c r="B62" s="81"/>
      <c r="C62" s="81"/>
      <c r="D62" s="81"/>
      <c r="E62" s="27"/>
      <c r="F62" s="35"/>
      <c r="G62" s="27"/>
      <c r="H62" s="27"/>
      <c r="I62" s="35"/>
      <c r="J62" s="27"/>
      <c r="K62" s="27"/>
      <c r="L62" s="27"/>
      <c r="M62" s="43"/>
      <c r="N62" s="27"/>
      <c r="O62" s="14"/>
    </row>
    <row r="63" spans="1:16" ht="20.25" customHeight="1" x14ac:dyDescent="0.3">
      <c r="A63" s="79" t="s">
        <v>23</v>
      </c>
      <c r="B63" s="81"/>
      <c r="C63" s="81"/>
      <c r="D63" s="81"/>
      <c r="E63" s="35"/>
      <c r="F63" s="35"/>
      <c r="G63" s="35"/>
      <c r="H63" s="35"/>
      <c r="I63" s="35"/>
      <c r="J63" s="56"/>
      <c r="K63" s="35"/>
      <c r="L63" s="35"/>
      <c r="M63" s="59"/>
      <c r="N63" s="35"/>
      <c r="O63" s="14"/>
    </row>
    <row r="64" spans="1:16" ht="15" customHeight="1" x14ac:dyDescent="0.3">
      <c r="A64" s="82" t="s">
        <v>26</v>
      </c>
      <c r="B64" s="83"/>
      <c r="C64" s="83"/>
      <c r="D64" s="81"/>
      <c r="E64" s="35"/>
      <c r="F64" s="35"/>
      <c r="G64" s="35"/>
      <c r="H64" s="35"/>
      <c r="I64" s="35"/>
      <c r="J64" s="56"/>
      <c r="K64" s="35"/>
      <c r="L64" s="35"/>
      <c r="M64" s="59"/>
      <c r="N64" s="35"/>
      <c r="O64" s="14"/>
    </row>
    <row r="65" spans="6:14" ht="15" customHeight="1" x14ac:dyDescent="0.3">
      <c r="F65" s="21"/>
      <c r="G65"/>
      <c r="H65"/>
      <c r="I65"/>
      <c r="J65"/>
      <c r="K65"/>
      <c r="L65"/>
      <c r="M65"/>
      <c r="N65"/>
    </row>
    <row r="66" spans="6:14" ht="15" customHeight="1" x14ac:dyDescent="0.3">
      <c r="G66"/>
      <c r="H66"/>
      <c r="I66"/>
      <c r="J66"/>
      <c r="K66"/>
      <c r="L66"/>
      <c r="M66"/>
      <c r="N66"/>
    </row>
    <row r="67" spans="6:14" ht="15" customHeight="1" x14ac:dyDescent="0.3">
      <c r="G67"/>
      <c r="H67"/>
      <c r="I67"/>
      <c r="J67"/>
      <c r="K67"/>
      <c r="L67"/>
      <c r="M67"/>
      <c r="N67"/>
    </row>
    <row r="68" spans="6:14" ht="15" customHeight="1" x14ac:dyDescent="0.3">
      <c r="H68" s="65"/>
      <c r="I68" s="63"/>
      <c r="J68" s="76"/>
      <c r="M68" s="57"/>
    </row>
    <row r="69" spans="6:14" ht="15" customHeight="1" x14ac:dyDescent="0.3">
      <c r="H69" s="65"/>
      <c r="I69" s="63"/>
      <c r="J69" s="76"/>
      <c r="M69" s="57"/>
    </row>
    <row r="70" spans="6:14" ht="15" customHeight="1" x14ac:dyDescent="0.3">
      <c r="H70" s="65"/>
      <c r="I70" s="63"/>
      <c r="J70" s="76"/>
      <c r="M70" s="57"/>
    </row>
    <row r="71" spans="6:14" ht="15" customHeight="1" x14ac:dyDescent="0.3">
      <c r="H71" s="65"/>
      <c r="I71" s="63"/>
      <c r="J71" s="76"/>
      <c r="M71" s="57"/>
    </row>
    <row r="72" spans="6:14" ht="15" customHeight="1" x14ac:dyDescent="0.3">
      <c r="H72" s="65"/>
      <c r="I72" s="63"/>
      <c r="J72" s="76"/>
      <c r="M72" s="57"/>
    </row>
    <row r="73" spans="6:14" ht="15" customHeight="1" x14ac:dyDescent="0.3">
      <c r="H73" s="65"/>
      <c r="I73" s="63"/>
      <c r="J73" s="76"/>
      <c r="M73" s="57"/>
    </row>
    <row r="74" spans="6:14" ht="15" customHeight="1" x14ac:dyDescent="0.3">
      <c r="H74" s="65"/>
      <c r="I74" s="63"/>
      <c r="J74" s="76"/>
      <c r="M74" s="57"/>
    </row>
    <row r="75" spans="6:14" ht="15" customHeight="1" x14ac:dyDescent="0.3">
      <c r="H75" s="64"/>
      <c r="I75" s="63"/>
      <c r="M75" s="57"/>
    </row>
  </sheetData>
  <mergeCells count="1">
    <mergeCell ref="O49:O50"/>
  </mergeCells>
  <dataValidations count="3">
    <dataValidation type="list" allowBlank="1" showInputMessage="1" showErrorMessage="1" sqref="G2:G60" xr:uid="{C9427709-A5A9-4BB3-B3EC-275CCFBAAC8D}">
      <formula1>"Not Processed, Processed"</formula1>
    </dataValidation>
    <dataValidation type="list" allowBlank="1" showInputMessage="1" showErrorMessage="1" sqref="H2:H60" xr:uid="{985FF5F3-D3F2-426E-AE69-5690F4127BF8}">
      <formula1>"No Smelt Catch, Longfin Smelt "</formula1>
    </dataValidation>
    <dataValidation type="list" allowBlank="1" showInputMessage="1" showErrorMessage="1" sqref="J2:J60" xr:uid="{84BD8791-DF5F-4E81-B66A-5909009B5324}">
      <formula1>"Preliminary, Completed"</formula1>
    </dataValidation>
  </dataValidations>
  <pageMargins left="0.7" right="0.7" top="0.75" bottom="0.75" header="0.3" footer="0.3"/>
  <pageSetup scale="1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395C-8B1E-4312-B241-C81E86F6B8C5}">
  <sheetPr>
    <pageSetUpPr fitToPage="1"/>
  </sheetPr>
  <dimension ref="A1:O65"/>
  <sheetViews>
    <sheetView zoomScale="110" zoomScaleNormal="110" workbookViewId="0">
      <pane ySplit="1" topLeftCell="A47" activePane="bottomLeft" state="frozen"/>
      <selection pane="bottomLeft" activeCell="N65" sqref="N65"/>
    </sheetView>
  </sheetViews>
  <sheetFormatPr defaultRowHeight="15" customHeight="1" x14ac:dyDescent="0.3"/>
  <cols>
    <col min="1" max="2" width="6.44140625" style="22" customWidth="1"/>
    <col min="3" max="3" width="6.88671875" style="22" customWidth="1"/>
    <col min="4" max="4" width="10.109375" style="60" customWidth="1"/>
    <col min="5" max="5" width="8.44140625" style="22" customWidth="1"/>
    <col min="6" max="6" width="6.5546875" style="22" customWidth="1"/>
    <col min="7" max="7" width="13.5546875" style="22" customWidth="1"/>
    <col min="8" max="8" width="14.5546875" style="22" customWidth="1"/>
    <col min="9" max="9" width="6.88671875" style="22" customWidth="1"/>
    <col min="10" max="10" width="10.44140625" style="55" customWidth="1"/>
    <col min="11" max="12" width="6.44140625" style="22" customWidth="1"/>
    <col min="13" max="13" width="6.44140625" style="61" customWidth="1"/>
    <col min="14" max="14" width="9.88671875" style="22" customWidth="1"/>
    <col min="15" max="15" width="9.5546875" customWidth="1"/>
  </cols>
  <sheetData>
    <row r="1" spans="1:15" ht="25.5" customHeight="1" thickBot="1" x14ac:dyDescent="0.35">
      <c r="A1" s="58" t="s">
        <v>0</v>
      </c>
      <c r="B1" s="46" t="s">
        <v>1</v>
      </c>
      <c r="C1" s="46" t="s">
        <v>2</v>
      </c>
      <c r="D1" s="47" t="s">
        <v>11</v>
      </c>
      <c r="E1" s="46" t="s">
        <v>13</v>
      </c>
      <c r="F1" s="46" t="s">
        <v>10</v>
      </c>
      <c r="G1" s="48" t="s">
        <v>3</v>
      </c>
      <c r="H1" s="46" t="s">
        <v>4</v>
      </c>
      <c r="I1" s="46" t="s">
        <v>5</v>
      </c>
      <c r="J1" s="46" t="s">
        <v>9</v>
      </c>
      <c r="K1" s="46" t="s">
        <v>6</v>
      </c>
      <c r="L1" s="46" t="s">
        <v>7</v>
      </c>
      <c r="M1" s="49" t="s">
        <v>8</v>
      </c>
      <c r="N1" s="50" t="s">
        <v>12</v>
      </c>
      <c r="O1" s="15"/>
    </row>
    <row r="2" spans="1:15" ht="15" customHeight="1" thickBot="1" x14ac:dyDescent="0.35">
      <c r="A2" s="51">
        <v>2026</v>
      </c>
      <c r="B2" s="1">
        <v>1</v>
      </c>
      <c r="C2" s="9">
        <v>306</v>
      </c>
      <c r="D2" s="20">
        <v>46020</v>
      </c>
      <c r="E2" s="9">
        <v>5.8</v>
      </c>
      <c r="F2" s="12">
        <v>81</v>
      </c>
      <c r="G2" s="36" t="s">
        <v>15</v>
      </c>
      <c r="H2" s="8" t="s">
        <v>16</v>
      </c>
      <c r="I2" s="23"/>
      <c r="J2" s="8" t="s">
        <v>17</v>
      </c>
      <c r="K2" s="9"/>
      <c r="L2" s="9"/>
      <c r="M2" s="39"/>
      <c r="N2" s="33"/>
      <c r="O2" s="15"/>
    </row>
    <row r="3" spans="1:15" ht="15" customHeight="1" thickBot="1" x14ac:dyDescent="0.35">
      <c r="A3" s="52">
        <f>A2</f>
        <v>2026</v>
      </c>
      <c r="B3" s="1">
        <f>B2</f>
        <v>1</v>
      </c>
      <c r="C3" s="8">
        <v>308</v>
      </c>
      <c r="D3" s="18">
        <v>46020</v>
      </c>
      <c r="E3" s="8">
        <v>5.4</v>
      </c>
      <c r="F3" s="13">
        <v>85</v>
      </c>
      <c r="G3" s="36" t="s">
        <v>15</v>
      </c>
      <c r="H3" s="8" t="s">
        <v>16</v>
      </c>
      <c r="I3" s="24"/>
      <c r="J3" s="8" t="s">
        <v>17</v>
      </c>
      <c r="K3" s="8"/>
      <c r="L3" s="8"/>
      <c r="M3" s="40"/>
      <c r="N3" s="30"/>
      <c r="O3" s="15"/>
    </row>
    <row r="4" spans="1:15" ht="15" customHeight="1" thickBot="1" x14ac:dyDescent="0.35">
      <c r="A4" s="52">
        <f t="shared" ref="A4:B19" si="0">A3</f>
        <v>2026</v>
      </c>
      <c r="B4" s="1">
        <f>B3</f>
        <v>1</v>
      </c>
      <c r="C4" s="8">
        <v>311</v>
      </c>
      <c r="D4" s="18">
        <v>46020</v>
      </c>
      <c r="E4" s="8">
        <v>6.7</v>
      </c>
      <c r="F4" s="13">
        <v>73</v>
      </c>
      <c r="G4" s="36" t="s">
        <v>15</v>
      </c>
      <c r="H4" s="8" t="s">
        <v>16</v>
      </c>
      <c r="I4" s="24"/>
      <c r="J4" s="8" t="s">
        <v>17</v>
      </c>
      <c r="K4" s="8"/>
      <c r="L4" s="8"/>
      <c r="M4" s="40"/>
      <c r="N4" s="30"/>
      <c r="O4" s="15"/>
    </row>
    <row r="5" spans="1:15" ht="15" customHeight="1" thickBot="1" x14ac:dyDescent="0.35">
      <c r="A5" s="52">
        <f t="shared" si="0"/>
        <v>2026</v>
      </c>
      <c r="B5" s="1">
        <f t="shared" si="0"/>
        <v>1</v>
      </c>
      <c r="C5" s="8">
        <v>315</v>
      </c>
      <c r="D5" s="20">
        <v>46020</v>
      </c>
      <c r="E5" s="9">
        <v>5.3</v>
      </c>
      <c r="F5" s="12">
        <v>93</v>
      </c>
      <c r="G5" s="36" t="s">
        <v>15</v>
      </c>
      <c r="H5" s="8" t="s">
        <v>16</v>
      </c>
      <c r="I5" s="23"/>
      <c r="J5" s="8" t="s">
        <v>17</v>
      </c>
      <c r="K5" s="9"/>
      <c r="L5" s="9"/>
      <c r="M5" s="41"/>
      <c r="N5" s="34"/>
      <c r="O5" s="15"/>
    </row>
    <row r="6" spans="1:15" ht="15" customHeight="1" thickBot="1" x14ac:dyDescent="0.35">
      <c r="A6" s="52">
        <f t="shared" si="0"/>
        <v>2026</v>
      </c>
      <c r="B6" s="1">
        <f t="shared" si="0"/>
        <v>1</v>
      </c>
      <c r="C6" s="8">
        <v>322</v>
      </c>
      <c r="D6" s="18">
        <v>46020</v>
      </c>
      <c r="E6" s="8">
        <v>6.6</v>
      </c>
      <c r="F6" s="13">
        <v>80</v>
      </c>
      <c r="G6" s="36" t="s">
        <v>15</v>
      </c>
      <c r="H6" s="8" t="s">
        <v>16</v>
      </c>
      <c r="I6" s="24"/>
      <c r="J6" s="8" t="s">
        <v>17</v>
      </c>
      <c r="K6" s="8"/>
      <c r="L6" s="8"/>
      <c r="M6" s="40"/>
      <c r="N6" s="30"/>
      <c r="O6" s="15"/>
    </row>
    <row r="7" spans="1:15" ht="15" customHeight="1" thickBot="1" x14ac:dyDescent="0.35">
      <c r="A7" s="52">
        <f t="shared" si="0"/>
        <v>2026</v>
      </c>
      <c r="B7" s="1">
        <f t="shared" si="0"/>
        <v>1</v>
      </c>
      <c r="C7" s="8">
        <v>323</v>
      </c>
      <c r="D7" s="18">
        <v>46020</v>
      </c>
      <c r="E7" s="8">
        <v>23.2</v>
      </c>
      <c r="F7" s="13">
        <v>44</v>
      </c>
      <c r="G7" s="36" t="s">
        <v>15</v>
      </c>
      <c r="H7" s="8" t="s">
        <v>16</v>
      </c>
      <c r="I7" s="24"/>
      <c r="J7" s="8" t="s">
        <v>17</v>
      </c>
      <c r="K7" s="8"/>
      <c r="L7" s="8"/>
      <c r="M7" s="40"/>
      <c r="N7" s="30"/>
      <c r="O7" s="15"/>
    </row>
    <row r="8" spans="1:15" ht="15" customHeight="1" thickBot="1" x14ac:dyDescent="0.35">
      <c r="A8" s="52">
        <f t="shared" si="0"/>
        <v>2026</v>
      </c>
      <c r="B8" s="1">
        <f t="shared" si="0"/>
        <v>1</v>
      </c>
      <c r="C8" s="8">
        <v>327</v>
      </c>
      <c r="D8" s="18">
        <v>46020</v>
      </c>
      <c r="E8" s="8">
        <v>9.1999999999999993</v>
      </c>
      <c r="F8" s="13">
        <v>68</v>
      </c>
      <c r="G8" s="36" t="s">
        <v>15</v>
      </c>
      <c r="H8" s="8" t="s">
        <v>16</v>
      </c>
      <c r="I8" s="24"/>
      <c r="J8" s="8" t="s">
        <v>17</v>
      </c>
      <c r="K8" s="8"/>
      <c r="L8" s="8"/>
      <c r="M8" s="40"/>
      <c r="N8" s="30"/>
      <c r="O8" s="15"/>
    </row>
    <row r="9" spans="1:15" ht="15" customHeight="1" thickBot="1" x14ac:dyDescent="0.35">
      <c r="A9" s="52">
        <f t="shared" si="0"/>
        <v>2026</v>
      </c>
      <c r="B9" s="1">
        <f t="shared" si="0"/>
        <v>1</v>
      </c>
      <c r="C9" s="8">
        <v>328</v>
      </c>
      <c r="D9" s="18">
        <v>46020</v>
      </c>
      <c r="E9" s="8">
        <v>11</v>
      </c>
      <c r="F9" s="13">
        <v>73</v>
      </c>
      <c r="G9" s="36" t="s">
        <v>15</v>
      </c>
      <c r="H9" s="8" t="s">
        <v>16</v>
      </c>
      <c r="I9" s="24"/>
      <c r="J9" s="8" t="s">
        <v>17</v>
      </c>
      <c r="K9" s="8"/>
      <c r="L9" s="8"/>
      <c r="M9" s="40"/>
      <c r="N9" s="30"/>
      <c r="O9" s="15"/>
    </row>
    <row r="10" spans="1:15" ht="15" customHeight="1" thickBot="1" x14ac:dyDescent="0.35">
      <c r="A10" s="52">
        <f t="shared" si="0"/>
        <v>2026</v>
      </c>
      <c r="B10" s="1">
        <f t="shared" si="0"/>
        <v>1</v>
      </c>
      <c r="C10" s="8">
        <v>329</v>
      </c>
      <c r="D10" s="18">
        <v>46020</v>
      </c>
      <c r="E10" s="8">
        <v>12.8</v>
      </c>
      <c r="F10" s="13">
        <v>48</v>
      </c>
      <c r="G10" s="36" t="s">
        <v>15</v>
      </c>
      <c r="H10" s="8" t="s">
        <v>19</v>
      </c>
      <c r="I10" s="24">
        <v>2</v>
      </c>
      <c r="J10" s="8" t="s">
        <v>17</v>
      </c>
      <c r="K10" s="8">
        <v>7</v>
      </c>
      <c r="L10" s="8">
        <v>7</v>
      </c>
      <c r="M10" s="40">
        <v>7</v>
      </c>
      <c r="N10" s="30">
        <v>2</v>
      </c>
      <c r="O10" s="15"/>
    </row>
    <row r="11" spans="1:15" ht="15" customHeight="1" thickBot="1" x14ac:dyDescent="0.35">
      <c r="A11" s="52">
        <f t="shared" si="0"/>
        <v>2026</v>
      </c>
      <c r="B11" s="1">
        <f t="shared" si="0"/>
        <v>1</v>
      </c>
      <c r="C11" s="8">
        <v>330</v>
      </c>
      <c r="D11" s="18">
        <v>46020</v>
      </c>
      <c r="E11" s="8">
        <v>21.9</v>
      </c>
      <c r="F11" s="13">
        <v>43</v>
      </c>
      <c r="G11" s="36" t="s">
        <v>15</v>
      </c>
      <c r="H11" s="8" t="s">
        <v>16</v>
      </c>
      <c r="I11" s="24"/>
      <c r="J11" s="8" t="s">
        <v>17</v>
      </c>
      <c r="K11" s="8"/>
      <c r="L11" s="8"/>
      <c r="M11" s="40"/>
      <c r="N11" s="30"/>
      <c r="O11" s="15"/>
    </row>
    <row r="12" spans="1:15" ht="15" customHeight="1" thickBot="1" x14ac:dyDescent="0.35">
      <c r="A12" s="52">
        <f t="shared" si="0"/>
        <v>2026</v>
      </c>
      <c r="B12" s="1">
        <f t="shared" si="0"/>
        <v>1</v>
      </c>
      <c r="C12" s="8">
        <v>335</v>
      </c>
      <c r="D12" s="20">
        <v>46020</v>
      </c>
      <c r="E12" s="9">
        <v>12.9</v>
      </c>
      <c r="F12" s="12">
        <v>44</v>
      </c>
      <c r="G12" s="36" t="s">
        <v>15</v>
      </c>
      <c r="H12" s="9" t="s">
        <v>19</v>
      </c>
      <c r="I12" s="23">
        <v>3</v>
      </c>
      <c r="J12" s="9" t="s">
        <v>17</v>
      </c>
      <c r="K12" s="9">
        <v>7</v>
      </c>
      <c r="L12" s="9">
        <v>8</v>
      </c>
      <c r="M12" s="41">
        <v>7.3</v>
      </c>
      <c r="N12" s="34">
        <v>2</v>
      </c>
      <c r="O12" s="15"/>
    </row>
    <row r="13" spans="1:15" ht="15" customHeight="1" thickBot="1" x14ac:dyDescent="0.35">
      <c r="A13" s="52">
        <f t="shared" si="0"/>
        <v>2026</v>
      </c>
      <c r="B13" s="1">
        <f t="shared" si="0"/>
        <v>1</v>
      </c>
      <c r="C13" s="8">
        <v>336</v>
      </c>
      <c r="D13" s="18">
        <v>46020</v>
      </c>
      <c r="E13" s="8">
        <v>11.6</v>
      </c>
      <c r="F13" s="13">
        <v>67</v>
      </c>
      <c r="G13" s="36" t="s">
        <v>15</v>
      </c>
      <c r="H13" s="8" t="s">
        <v>29</v>
      </c>
      <c r="I13" s="24">
        <v>1</v>
      </c>
      <c r="J13" s="8" t="s">
        <v>17</v>
      </c>
      <c r="K13" s="8">
        <v>7</v>
      </c>
      <c r="L13" s="8">
        <v>7</v>
      </c>
      <c r="M13" s="40">
        <v>7</v>
      </c>
      <c r="N13" s="30">
        <v>1</v>
      </c>
      <c r="O13" s="15"/>
    </row>
    <row r="14" spans="1:15" ht="15" customHeight="1" thickBot="1" x14ac:dyDescent="0.35">
      <c r="A14" s="52">
        <f t="shared" si="0"/>
        <v>2026</v>
      </c>
      <c r="B14" s="1">
        <f t="shared" si="0"/>
        <v>1</v>
      </c>
      <c r="C14" s="8">
        <v>338</v>
      </c>
      <c r="D14" s="18">
        <v>46021</v>
      </c>
      <c r="E14" s="8">
        <v>12</v>
      </c>
      <c r="F14" s="13">
        <v>57</v>
      </c>
      <c r="G14" s="36" t="s">
        <v>15</v>
      </c>
      <c r="H14" s="8" t="s">
        <v>16</v>
      </c>
      <c r="I14" s="24"/>
      <c r="J14" s="8" t="s">
        <v>17</v>
      </c>
      <c r="K14" s="8"/>
      <c r="L14" s="8"/>
      <c r="M14" s="40"/>
      <c r="N14" s="30"/>
      <c r="O14" s="15"/>
    </row>
    <row r="15" spans="1:15" ht="15" customHeight="1" thickBot="1" x14ac:dyDescent="0.35">
      <c r="A15" s="52">
        <f t="shared" si="0"/>
        <v>2026</v>
      </c>
      <c r="B15" s="1">
        <f t="shared" si="0"/>
        <v>1</v>
      </c>
      <c r="C15" s="1">
        <v>340</v>
      </c>
      <c r="D15" s="17">
        <v>46021</v>
      </c>
      <c r="E15" s="8">
        <v>21.9</v>
      </c>
      <c r="F15" s="13">
        <v>54</v>
      </c>
      <c r="G15" s="36" t="s">
        <v>15</v>
      </c>
      <c r="H15" s="8" t="s">
        <v>29</v>
      </c>
      <c r="I15" s="24">
        <v>4</v>
      </c>
      <c r="J15" s="8" t="s">
        <v>17</v>
      </c>
      <c r="K15" s="8">
        <v>5</v>
      </c>
      <c r="L15" s="8">
        <v>7</v>
      </c>
      <c r="M15" s="40">
        <v>6.5</v>
      </c>
      <c r="N15" s="30">
        <v>4</v>
      </c>
      <c r="O15" s="15"/>
    </row>
    <row r="16" spans="1:15" ht="15" customHeight="1" thickBot="1" x14ac:dyDescent="0.35">
      <c r="A16" s="52">
        <f t="shared" si="0"/>
        <v>2026</v>
      </c>
      <c r="B16" s="1">
        <f t="shared" si="0"/>
        <v>1</v>
      </c>
      <c r="C16" s="1">
        <v>342</v>
      </c>
      <c r="D16" s="17">
        <v>46021</v>
      </c>
      <c r="E16" s="2">
        <v>12.3</v>
      </c>
      <c r="F16" s="10">
        <v>50</v>
      </c>
      <c r="G16" s="36" t="s">
        <v>15</v>
      </c>
      <c r="H16" s="1" t="s">
        <v>29</v>
      </c>
      <c r="I16" s="25">
        <v>3</v>
      </c>
      <c r="J16" s="8" t="s">
        <v>17</v>
      </c>
      <c r="K16" s="1">
        <v>7</v>
      </c>
      <c r="L16" s="1">
        <v>7</v>
      </c>
      <c r="M16" s="28">
        <v>7</v>
      </c>
      <c r="N16" s="31">
        <v>0</v>
      </c>
      <c r="O16" s="77"/>
    </row>
    <row r="17" spans="1:15" ht="15" customHeight="1" thickBot="1" x14ac:dyDescent="0.35">
      <c r="A17" s="52">
        <f t="shared" si="0"/>
        <v>2026</v>
      </c>
      <c r="B17" s="1">
        <f t="shared" si="0"/>
        <v>1</v>
      </c>
      <c r="C17" s="1">
        <v>343</v>
      </c>
      <c r="D17" s="17">
        <v>46021</v>
      </c>
      <c r="E17" s="2">
        <v>38.9</v>
      </c>
      <c r="F17" s="10">
        <v>38</v>
      </c>
      <c r="G17" s="36" t="s">
        <v>15</v>
      </c>
      <c r="H17" s="1" t="s">
        <v>29</v>
      </c>
      <c r="I17" s="25">
        <v>13</v>
      </c>
      <c r="J17" s="8" t="s">
        <v>17</v>
      </c>
      <c r="K17" s="1">
        <v>7</v>
      </c>
      <c r="L17" s="1">
        <v>8</v>
      </c>
      <c r="M17" s="28">
        <v>7.1538461538461542</v>
      </c>
      <c r="N17" s="31">
        <v>11</v>
      </c>
      <c r="O17" s="15"/>
    </row>
    <row r="18" spans="1:15" ht="15" customHeight="1" thickBot="1" x14ac:dyDescent="0.35">
      <c r="A18" s="52">
        <f t="shared" si="0"/>
        <v>2026</v>
      </c>
      <c r="B18" s="1">
        <f t="shared" si="0"/>
        <v>1</v>
      </c>
      <c r="C18" s="1">
        <v>344</v>
      </c>
      <c r="D18" s="17">
        <v>46021</v>
      </c>
      <c r="E18" s="2">
        <v>27.5</v>
      </c>
      <c r="F18" s="10">
        <v>37</v>
      </c>
      <c r="G18" s="36" t="s">
        <v>15</v>
      </c>
      <c r="H18" s="1" t="s">
        <v>29</v>
      </c>
      <c r="I18" s="25">
        <v>2</v>
      </c>
      <c r="J18" s="8" t="s">
        <v>17</v>
      </c>
      <c r="K18" s="1">
        <v>8</v>
      </c>
      <c r="L18" s="1">
        <v>9</v>
      </c>
      <c r="M18" s="28">
        <v>8.5</v>
      </c>
      <c r="N18" s="31">
        <v>0</v>
      </c>
      <c r="O18" s="15"/>
    </row>
    <row r="19" spans="1:15" ht="15" customHeight="1" thickBot="1" x14ac:dyDescent="0.35">
      <c r="A19" s="52">
        <f t="shared" si="0"/>
        <v>2026</v>
      </c>
      <c r="B19" s="1">
        <f t="shared" si="0"/>
        <v>1</v>
      </c>
      <c r="C19" s="1">
        <v>345</v>
      </c>
      <c r="D19" s="17">
        <v>46021</v>
      </c>
      <c r="E19" s="2">
        <v>28.4</v>
      </c>
      <c r="F19" s="10">
        <v>34</v>
      </c>
      <c r="G19" s="36" t="s">
        <v>15</v>
      </c>
      <c r="H19" s="1" t="s">
        <v>16</v>
      </c>
      <c r="I19" s="25"/>
      <c r="J19" s="8" t="s">
        <v>17</v>
      </c>
      <c r="K19" s="1"/>
      <c r="L19" s="1"/>
      <c r="M19" s="28"/>
      <c r="N19" s="31"/>
      <c r="O19" s="15"/>
    </row>
    <row r="20" spans="1:15" ht="15" customHeight="1" thickBot="1" x14ac:dyDescent="0.35">
      <c r="A20" s="52">
        <f t="shared" ref="A20:B35" si="1">A19</f>
        <v>2026</v>
      </c>
      <c r="B20" s="1">
        <f t="shared" si="1"/>
        <v>1</v>
      </c>
      <c r="C20" s="1">
        <v>346</v>
      </c>
      <c r="D20" s="17">
        <v>46021</v>
      </c>
      <c r="E20" s="2">
        <v>21.9</v>
      </c>
      <c r="F20" s="10">
        <v>41</v>
      </c>
      <c r="G20" s="36" t="s">
        <v>15</v>
      </c>
      <c r="H20" s="1" t="s">
        <v>16</v>
      </c>
      <c r="I20" s="25"/>
      <c r="J20" s="8" t="s">
        <v>17</v>
      </c>
      <c r="K20" s="1"/>
      <c r="L20" s="1"/>
      <c r="M20" s="28"/>
      <c r="N20" s="31"/>
      <c r="O20" s="15"/>
    </row>
    <row r="21" spans="1:15" ht="15" customHeight="1" thickBot="1" x14ac:dyDescent="0.35">
      <c r="A21" s="52">
        <f t="shared" si="1"/>
        <v>2026</v>
      </c>
      <c r="B21" s="1">
        <f t="shared" si="1"/>
        <v>1</v>
      </c>
      <c r="C21" s="1">
        <v>347</v>
      </c>
      <c r="D21" s="17">
        <v>46021</v>
      </c>
      <c r="E21" s="2">
        <v>19.899999999999999</v>
      </c>
      <c r="F21" s="10">
        <v>45</v>
      </c>
      <c r="G21" s="36" t="s">
        <v>15</v>
      </c>
      <c r="H21" s="1" t="s">
        <v>16</v>
      </c>
      <c r="I21" s="25"/>
      <c r="J21" s="8" t="s">
        <v>17</v>
      </c>
      <c r="K21" s="1"/>
      <c r="L21" s="1"/>
      <c r="M21" s="28"/>
      <c r="N21" s="31"/>
      <c r="O21" s="15"/>
    </row>
    <row r="22" spans="1:15" ht="15" customHeight="1" thickBot="1" x14ac:dyDescent="0.35">
      <c r="A22" s="52">
        <f t="shared" si="1"/>
        <v>2026</v>
      </c>
      <c r="B22" s="1">
        <f t="shared" si="1"/>
        <v>1</v>
      </c>
      <c r="C22" s="1">
        <v>348</v>
      </c>
      <c r="D22" s="17">
        <v>46021</v>
      </c>
      <c r="E22" s="2">
        <v>11</v>
      </c>
      <c r="F22" s="10">
        <v>62</v>
      </c>
      <c r="G22" s="36" t="s">
        <v>15</v>
      </c>
      <c r="H22" s="1" t="s">
        <v>16</v>
      </c>
      <c r="I22" s="25"/>
      <c r="J22" s="8" t="s">
        <v>17</v>
      </c>
      <c r="K22" s="1"/>
      <c r="L22" s="1"/>
      <c r="M22" s="28"/>
      <c r="N22" s="31"/>
      <c r="O22" s="15"/>
    </row>
    <row r="23" spans="1:15" ht="15" customHeight="1" thickBot="1" x14ac:dyDescent="0.35">
      <c r="A23" s="52">
        <f t="shared" si="1"/>
        <v>2026</v>
      </c>
      <c r="B23" s="1">
        <f t="shared" si="1"/>
        <v>1</v>
      </c>
      <c r="C23" s="1">
        <v>349</v>
      </c>
      <c r="D23" s="17">
        <v>46021</v>
      </c>
      <c r="E23" s="2">
        <v>8.6</v>
      </c>
      <c r="F23" s="10">
        <v>84</v>
      </c>
      <c r="G23" s="36" t="s">
        <v>15</v>
      </c>
      <c r="H23" s="1" t="s">
        <v>16</v>
      </c>
      <c r="I23" s="25"/>
      <c r="J23" s="1" t="s">
        <v>17</v>
      </c>
      <c r="K23" s="1"/>
      <c r="L23" s="1"/>
      <c r="M23" s="28"/>
      <c r="N23" s="31"/>
      <c r="O23" s="15"/>
    </row>
    <row r="24" spans="1:15" ht="15" customHeight="1" thickBot="1" x14ac:dyDescent="0.35">
      <c r="A24" s="52">
        <f t="shared" si="1"/>
        <v>2026</v>
      </c>
      <c r="B24" s="1">
        <f t="shared" si="1"/>
        <v>1</v>
      </c>
      <c r="C24" s="1">
        <v>401</v>
      </c>
      <c r="D24" s="53">
        <v>46021</v>
      </c>
      <c r="E24" s="2">
        <v>19.3</v>
      </c>
      <c r="F24" s="10">
        <v>46</v>
      </c>
      <c r="G24" s="36" t="s">
        <v>15</v>
      </c>
      <c r="H24" s="1" t="s">
        <v>19</v>
      </c>
      <c r="I24" s="25">
        <v>8</v>
      </c>
      <c r="J24" s="8" t="s">
        <v>17</v>
      </c>
      <c r="K24" s="1">
        <v>6</v>
      </c>
      <c r="L24" s="1">
        <v>8</v>
      </c>
      <c r="M24" s="28">
        <v>7</v>
      </c>
      <c r="N24" s="31">
        <v>6</v>
      </c>
      <c r="O24" s="15"/>
    </row>
    <row r="25" spans="1:15" ht="15" customHeight="1" thickBot="1" x14ac:dyDescent="0.35">
      <c r="A25" s="52">
        <f t="shared" si="1"/>
        <v>2026</v>
      </c>
      <c r="B25" s="1">
        <f t="shared" si="1"/>
        <v>1</v>
      </c>
      <c r="C25" s="8">
        <v>404</v>
      </c>
      <c r="D25" s="18">
        <v>46020</v>
      </c>
      <c r="E25" s="2">
        <v>30.2</v>
      </c>
      <c r="F25" s="10">
        <v>33</v>
      </c>
      <c r="G25" s="36" t="s">
        <v>15</v>
      </c>
      <c r="H25" s="1" t="s">
        <v>29</v>
      </c>
      <c r="I25" s="25">
        <v>9</v>
      </c>
      <c r="J25" s="8" t="s">
        <v>17</v>
      </c>
      <c r="K25" s="1">
        <v>7</v>
      </c>
      <c r="L25" s="1">
        <v>8</v>
      </c>
      <c r="M25" s="28">
        <v>7.5555555555555554</v>
      </c>
      <c r="N25" s="31">
        <v>9</v>
      </c>
      <c r="O25" s="15"/>
    </row>
    <row r="26" spans="1:15" ht="15" customHeight="1" thickBot="1" x14ac:dyDescent="0.35">
      <c r="A26" s="52">
        <f t="shared" si="1"/>
        <v>2026</v>
      </c>
      <c r="B26" s="1">
        <f t="shared" si="1"/>
        <v>1</v>
      </c>
      <c r="C26" s="1">
        <v>405</v>
      </c>
      <c r="D26" s="17">
        <v>46020</v>
      </c>
      <c r="E26" s="2">
        <v>103.1</v>
      </c>
      <c r="F26" s="10">
        <v>19</v>
      </c>
      <c r="G26" s="36" t="s">
        <v>15</v>
      </c>
      <c r="H26" s="1" t="s">
        <v>19</v>
      </c>
      <c r="I26" s="25">
        <v>3</v>
      </c>
      <c r="J26" s="1" t="s">
        <v>17</v>
      </c>
      <c r="K26" s="1">
        <v>7</v>
      </c>
      <c r="L26" s="1">
        <v>8</v>
      </c>
      <c r="M26" s="28">
        <v>7.3</v>
      </c>
      <c r="N26" s="31">
        <v>1</v>
      </c>
      <c r="O26" s="15"/>
    </row>
    <row r="27" spans="1:15" ht="15" customHeight="1" thickBot="1" x14ac:dyDescent="0.35">
      <c r="A27" s="52">
        <f t="shared" si="1"/>
        <v>2026</v>
      </c>
      <c r="B27" s="1">
        <f t="shared" si="1"/>
        <v>1</v>
      </c>
      <c r="C27" s="1">
        <v>411</v>
      </c>
      <c r="D27" s="17">
        <v>46022</v>
      </c>
      <c r="E27" s="2">
        <v>33.200000000000003</v>
      </c>
      <c r="F27" s="10">
        <v>35</v>
      </c>
      <c r="G27" s="36" t="s">
        <v>15</v>
      </c>
      <c r="H27" s="1" t="s">
        <v>29</v>
      </c>
      <c r="I27" s="25">
        <v>28</v>
      </c>
      <c r="J27" s="1" t="s">
        <v>17</v>
      </c>
      <c r="K27" s="1">
        <v>7</v>
      </c>
      <c r="L27" s="1">
        <v>9</v>
      </c>
      <c r="M27" s="28">
        <v>7.4285714285714288</v>
      </c>
      <c r="N27" s="31">
        <v>24</v>
      </c>
      <c r="O27" s="15"/>
    </row>
    <row r="28" spans="1:15" ht="15" customHeight="1" thickBot="1" x14ac:dyDescent="0.35">
      <c r="A28" s="52">
        <f t="shared" si="1"/>
        <v>2026</v>
      </c>
      <c r="B28" s="1">
        <f t="shared" si="1"/>
        <v>1</v>
      </c>
      <c r="C28" s="1">
        <v>418</v>
      </c>
      <c r="D28" s="17">
        <v>46022</v>
      </c>
      <c r="E28" s="2">
        <v>20.2</v>
      </c>
      <c r="F28" s="10">
        <v>35</v>
      </c>
      <c r="G28" s="36" t="s">
        <v>15</v>
      </c>
      <c r="H28" s="1" t="s">
        <v>19</v>
      </c>
      <c r="I28" s="25">
        <v>6</v>
      </c>
      <c r="J28" s="1" t="s">
        <v>17</v>
      </c>
      <c r="K28" s="1">
        <v>7</v>
      </c>
      <c r="L28" s="1">
        <v>8</v>
      </c>
      <c r="M28" s="28">
        <v>7.8</v>
      </c>
      <c r="N28" s="31">
        <v>6</v>
      </c>
      <c r="O28" s="15"/>
    </row>
    <row r="29" spans="1:15" ht="15" customHeight="1" thickBot="1" x14ac:dyDescent="0.35">
      <c r="A29" s="52">
        <f t="shared" si="1"/>
        <v>2026</v>
      </c>
      <c r="B29" s="1">
        <f t="shared" si="1"/>
        <v>1</v>
      </c>
      <c r="C29" s="1">
        <v>501</v>
      </c>
      <c r="D29" s="17">
        <v>46022</v>
      </c>
      <c r="E29" s="2">
        <v>39.299999999999997</v>
      </c>
      <c r="F29" s="10">
        <v>20</v>
      </c>
      <c r="G29" s="36" t="s">
        <v>15</v>
      </c>
      <c r="H29" s="1" t="s">
        <v>19</v>
      </c>
      <c r="I29" s="25">
        <v>10</v>
      </c>
      <c r="J29" s="1" t="s">
        <v>17</v>
      </c>
      <c r="K29" s="1">
        <v>6</v>
      </c>
      <c r="L29" s="1">
        <v>8</v>
      </c>
      <c r="M29" s="28">
        <v>6.8</v>
      </c>
      <c r="N29" s="31">
        <v>9</v>
      </c>
      <c r="O29" s="15"/>
    </row>
    <row r="30" spans="1:15" ht="15" customHeight="1" thickBot="1" x14ac:dyDescent="0.35">
      <c r="A30" s="52">
        <f t="shared" si="1"/>
        <v>2026</v>
      </c>
      <c r="B30" s="1">
        <f t="shared" si="1"/>
        <v>1</v>
      </c>
      <c r="C30" s="1">
        <v>504</v>
      </c>
      <c r="D30" s="17">
        <v>46022</v>
      </c>
      <c r="E30" s="2">
        <v>37.6</v>
      </c>
      <c r="F30" s="10">
        <v>35</v>
      </c>
      <c r="G30" s="36" t="s">
        <v>15</v>
      </c>
      <c r="H30" s="1" t="s">
        <v>29</v>
      </c>
      <c r="I30" s="25">
        <v>5</v>
      </c>
      <c r="J30" s="1" t="s">
        <v>17</v>
      </c>
      <c r="K30" s="1">
        <v>6</v>
      </c>
      <c r="L30" s="1">
        <v>6</v>
      </c>
      <c r="M30" s="28">
        <v>6</v>
      </c>
      <c r="N30" s="31">
        <v>4</v>
      </c>
      <c r="O30" s="15"/>
    </row>
    <row r="31" spans="1:15" ht="15" customHeight="1" thickBot="1" x14ac:dyDescent="0.35">
      <c r="A31" s="52">
        <f t="shared" si="1"/>
        <v>2026</v>
      </c>
      <c r="B31" s="1">
        <f t="shared" si="1"/>
        <v>1</v>
      </c>
      <c r="C31" s="1">
        <v>508</v>
      </c>
      <c r="D31" s="17">
        <v>46021</v>
      </c>
      <c r="E31" s="2">
        <v>63.6</v>
      </c>
      <c r="F31" s="10">
        <v>15</v>
      </c>
      <c r="G31" s="36" t="s">
        <v>15</v>
      </c>
      <c r="H31" s="1" t="s">
        <v>16</v>
      </c>
      <c r="I31" s="38"/>
      <c r="J31" s="54" t="s">
        <v>17</v>
      </c>
      <c r="K31" s="1"/>
      <c r="L31" s="1"/>
      <c r="M31" s="2"/>
      <c r="N31" s="31"/>
      <c r="O31" s="15"/>
    </row>
    <row r="32" spans="1:15" ht="15" customHeight="1" thickBot="1" x14ac:dyDescent="0.35">
      <c r="A32" s="52">
        <f t="shared" si="1"/>
        <v>2026</v>
      </c>
      <c r="B32" s="1">
        <f t="shared" si="1"/>
        <v>1</v>
      </c>
      <c r="C32" s="1">
        <v>513</v>
      </c>
      <c r="D32" s="17">
        <v>46021</v>
      </c>
      <c r="E32" s="2">
        <v>37.1</v>
      </c>
      <c r="F32" s="10">
        <v>20</v>
      </c>
      <c r="G32" s="36" t="s">
        <v>15</v>
      </c>
      <c r="H32" s="1" t="s">
        <v>29</v>
      </c>
      <c r="I32" s="38">
        <v>3</v>
      </c>
      <c r="J32" s="55" t="s">
        <v>17</v>
      </c>
      <c r="K32" s="1">
        <v>6</v>
      </c>
      <c r="L32" s="1">
        <v>7</v>
      </c>
      <c r="M32" s="2">
        <v>6.333333333333333</v>
      </c>
      <c r="N32" s="31">
        <v>0</v>
      </c>
      <c r="O32" s="14"/>
    </row>
    <row r="33" spans="1:15" ht="15" customHeight="1" thickBot="1" x14ac:dyDescent="0.35">
      <c r="A33" s="52">
        <f t="shared" si="1"/>
        <v>2026</v>
      </c>
      <c r="B33" s="1">
        <f t="shared" si="1"/>
        <v>1</v>
      </c>
      <c r="C33" s="1">
        <v>519</v>
      </c>
      <c r="D33" s="17">
        <v>46021</v>
      </c>
      <c r="E33" s="2">
        <v>62.5</v>
      </c>
      <c r="F33" s="10">
        <v>14</v>
      </c>
      <c r="G33" s="36" t="s">
        <v>15</v>
      </c>
      <c r="H33" s="1" t="s">
        <v>29</v>
      </c>
      <c r="I33" s="25">
        <v>1</v>
      </c>
      <c r="J33" s="1" t="s">
        <v>17</v>
      </c>
      <c r="K33" s="1">
        <v>6</v>
      </c>
      <c r="L33" s="1">
        <v>6</v>
      </c>
      <c r="M33" s="28">
        <v>6</v>
      </c>
      <c r="N33" s="31">
        <v>0</v>
      </c>
      <c r="O33" s="15"/>
    </row>
    <row r="34" spans="1:15" ht="15" customHeight="1" thickBot="1" x14ac:dyDescent="0.35">
      <c r="A34" s="52">
        <f t="shared" si="1"/>
        <v>2026</v>
      </c>
      <c r="B34" s="1">
        <f t="shared" si="1"/>
        <v>1</v>
      </c>
      <c r="C34" s="1">
        <v>520</v>
      </c>
      <c r="D34" s="17">
        <v>46021</v>
      </c>
      <c r="E34" s="2">
        <v>37.1</v>
      </c>
      <c r="F34" s="10">
        <v>21</v>
      </c>
      <c r="G34" s="36" t="s">
        <v>15</v>
      </c>
      <c r="H34" s="1" t="s">
        <v>19</v>
      </c>
      <c r="I34" s="25">
        <v>3</v>
      </c>
      <c r="J34" s="1" t="s">
        <v>17</v>
      </c>
      <c r="K34" s="1">
        <v>6</v>
      </c>
      <c r="L34" s="1">
        <v>7</v>
      </c>
      <c r="M34" s="28">
        <v>6.7</v>
      </c>
      <c r="N34" s="31">
        <v>3</v>
      </c>
      <c r="O34" s="15"/>
    </row>
    <row r="35" spans="1:15" ht="15" customHeight="1" thickBot="1" x14ac:dyDescent="0.35">
      <c r="A35" s="52">
        <f t="shared" si="1"/>
        <v>2026</v>
      </c>
      <c r="B35" s="1">
        <f t="shared" si="1"/>
        <v>1</v>
      </c>
      <c r="C35" s="1">
        <v>602</v>
      </c>
      <c r="D35" s="17">
        <v>46021</v>
      </c>
      <c r="E35" s="2">
        <v>78.5</v>
      </c>
      <c r="F35" s="10">
        <v>12</v>
      </c>
      <c r="G35" s="36" t="s">
        <v>15</v>
      </c>
      <c r="H35" s="1" t="s">
        <v>19</v>
      </c>
      <c r="I35" s="25">
        <v>2</v>
      </c>
      <c r="J35" s="1" t="s">
        <v>17</v>
      </c>
      <c r="K35" s="1">
        <v>7</v>
      </c>
      <c r="L35" s="1">
        <v>7</v>
      </c>
      <c r="M35" s="28">
        <v>7</v>
      </c>
      <c r="N35" s="31">
        <v>2</v>
      </c>
      <c r="O35" s="15"/>
    </row>
    <row r="36" spans="1:15" ht="15" customHeight="1" x14ac:dyDescent="0.3">
      <c r="A36" s="52">
        <f t="shared" ref="A36:B51" si="2">A35</f>
        <v>2026</v>
      </c>
      <c r="B36" s="1">
        <f t="shared" si="2"/>
        <v>1</v>
      </c>
      <c r="C36" s="1">
        <v>606</v>
      </c>
      <c r="D36" s="17">
        <v>46021</v>
      </c>
      <c r="E36" s="2">
        <v>37.1</v>
      </c>
      <c r="F36" s="10">
        <v>20</v>
      </c>
      <c r="G36" s="36" t="s">
        <v>15</v>
      </c>
      <c r="H36" s="1" t="s">
        <v>16</v>
      </c>
      <c r="I36" s="25"/>
      <c r="J36" s="1" t="s">
        <v>17</v>
      </c>
      <c r="K36" s="1"/>
      <c r="L36" s="1"/>
      <c r="M36" s="28"/>
      <c r="N36" s="31"/>
      <c r="O36" s="14"/>
    </row>
    <row r="37" spans="1:15" ht="15" customHeight="1" x14ac:dyDescent="0.3">
      <c r="A37" s="52">
        <f t="shared" si="2"/>
        <v>2026</v>
      </c>
      <c r="B37" s="1">
        <f t="shared" si="2"/>
        <v>1</v>
      </c>
      <c r="C37" s="1">
        <v>609</v>
      </c>
      <c r="D37" s="17">
        <v>46021</v>
      </c>
      <c r="E37" s="2">
        <v>35.299999999999997</v>
      </c>
      <c r="F37" s="10">
        <v>23</v>
      </c>
      <c r="G37" s="36" t="s">
        <v>15</v>
      </c>
      <c r="H37" s="1" t="s">
        <v>16</v>
      </c>
      <c r="I37" s="38"/>
      <c r="J37" s="1" t="s">
        <v>17</v>
      </c>
      <c r="K37" s="1"/>
      <c r="L37" s="1"/>
      <c r="M37" s="28"/>
      <c r="N37" s="31"/>
      <c r="O37" s="14"/>
    </row>
    <row r="38" spans="1:15" ht="15" customHeight="1" x14ac:dyDescent="0.3">
      <c r="A38" s="52">
        <f t="shared" si="2"/>
        <v>2026</v>
      </c>
      <c r="B38" s="1">
        <f t="shared" si="2"/>
        <v>1</v>
      </c>
      <c r="C38" s="1">
        <v>610</v>
      </c>
      <c r="D38" s="17">
        <v>46021</v>
      </c>
      <c r="E38" s="2">
        <v>41.5</v>
      </c>
      <c r="F38" s="10">
        <v>24</v>
      </c>
      <c r="G38" s="36" t="s">
        <v>15</v>
      </c>
      <c r="H38" s="1" t="s">
        <v>16</v>
      </c>
      <c r="I38" s="38"/>
      <c r="J38" s="1" t="s">
        <v>17</v>
      </c>
      <c r="K38" s="1"/>
      <c r="L38" s="1"/>
      <c r="M38" s="28"/>
      <c r="N38" s="31"/>
      <c r="O38" s="14"/>
    </row>
    <row r="39" spans="1:15" ht="15" customHeight="1" x14ac:dyDescent="0.3">
      <c r="A39" s="52">
        <f t="shared" si="2"/>
        <v>2026</v>
      </c>
      <c r="B39" s="1">
        <f t="shared" si="2"/>
        <v>1</v>
      </c>
      <c r="C39" s="1">
        <v>703</v>
      </c>
      <c r="D39" s="17">
        <v>46021</v>
      </c>
      <c r="E39" s="2">
        <v>44.2</v>
      </c>
      <c r="F39" s="10">
        <v>20</v>
      </c>
      <c r="G39" s="36" t="s">
        <v>15</v>
      </c>
      <c r="H39" s="1" t="s">
        <v>29</v>
      </c>
      <c r="I39" s="25">
        <v>1</v>
      </c>
      <c r="J39" s="1" t="s">
        <v>17</v>
      </c>
      <c r="K39" s="1">
        <v>8</v>
      </c>
      <c r="L39" s="1">
        <v>8</v>
      </c>
      <c r="M39" s="28">
        <v>8</v>
      </c>
      <c r="N39" s="31">
        <v>0</v>
      </c>
    </row>
    <row r="40" spans="1:15" ht="15" customHeight="1" x14ac:dyDescent="0.3">
      <c r="A40" s="52">
        <f t="shared" si="2"/>
        <v>2026</v>
      </c>
      <c r="B40" s="1">
        <f t="shared" si="2"/>
        <v>1</v>
      </c>
      <c r="C40" s="1">
        <v>704</v>
      </c>
      <c r="D40" s="17">
        <v>46021</v>
      </c>
      <c r="E40" s="2">
        <v>56.1</v>
      </c>
      <c r="F40" s="10">
        <v>15</v>
      </c>
      <c r="G40" s="36" t="s">
        <v>15</v>
      </c>
      <c r="H40" s="1" t="s">
        <v>29</v>
      </c>
      <c r="I40" s="25">
        <v>2</v>
      </c>
      <c r="J40" s="1" t="s">
        <v>17</v>
      </c>
      <c r="K40" s="1">
        <v>6</v>
      </c>
      <c r="L40" s="1">
        <v>6</v>
      </c>
      <c r="M40" s="28">
        <v>6</v>
      </c>
      <c r="N40" s="31">
        <v>2</v>
      </c>
      <c r="O40" s="14"/>
    </row>
    <row r="41" spans="1:15" ht="15" customHeight="1" x14ac:dyDescent="0.3">
      <c r="A41" s="52">
        <f t="shared" si="2"/>
        <v>2026</v>
      </c>
      <c r="B41" s="1">
        <f t="shared" si="2"/>
        <v>1</v>
      </c>
      <c r="C41" s="1">
        <v>705</v>
      </c>
      <c r="D41" s="17">
        <v>46021</v>
      </c>
      <c r="E41" s="2">
        <v>43.3</v>
      </c>
      <c r="F41" s="10">
        <v>18</v>
      </c>
      <c r="G41" s="36" t="s">
        <v>15</v>
      </c>
      <c r="H41" s="1" t="s">
        <v>16</v>
      </c>
      <c r="I41" s="25"/>
      <c r="J41" s="1" t="s">
        <v>17</v>
      </c>
      <c r="K41" s="1"/>
      <c r="L41" s="1"/>
      <c r="M41" s="28"/>
      <c r="N41" s="31"/>
      <c r="O41" s="14"/>
    </row>
    <row r="42" spans="1:15" ht="15" customHeight="1" x14ac:dyDescent="0.3">
      <c r="A42" s="52">
        <f t="shared" si="2"/>
        <v>2026</v>
      </c>
      <c r="B42" s="1">
        <f t="shared" si="2"/>
        <v>1</v>
      </c>
      <c r="C42" s="1">
        <v>706</v>
      </c>
      <c r="D42" s="17">
        <v>46021</v>
      </c>
      <c r="E42" s="2">
        <v>49.2</v>
      </c>
      <c r="F42" s="10">
        <v>19</v>
      </c>
      <c r="G42" s="36" t="s">
        <v>15</v>
      </c>
      <c r="H42" s="1" t="s">
        <v>16</v>
      </c>
      <c r="I42" s="25"/>
      <c r="J42" s="1" t="s">
        <v>17</v>
      </c>
      <c r="K42" s="1"/>
      <c r="L42" s="1"/>
      <c r="M42" s="28"/>
      <c r="N42" s="31"/>
      <c r="O42" s="14"/>
    </row>
    <row r="43" spans="1:15" ht="15" customHeight="1" x14ac:dyDescent="0.3">
      <c r="A43" s="52">
        <f t="shared" si="2"/>
        <v>2026</v>
      </c>
      <c r="B43" s="1">
        <f t="shared" si="2"/>
        <v>1</v>
      </c>
      <c r="C43" s="1">
        <v>707</v>
      </c>
      <c r="D43" s="17">
        <v>46021</v>
      </c>
      <c r="E43" s="2">
        <v>48.6</v>
      </c>
      <c r="F43" s="10">
        <v>23</v>
      </c>
      <c r="G43" s="36" t="s">
        <v>15</v>
      </c>
      <c r="H43" s="1" t="s">
        <v>29</v>
      </c>
      <c r="I43" s="25">
        <v>1</v>
      </c>
      <c r="J43" s="1" t="s">
        <v>17</v>
      </c>
      <c r="K43" s="1">
        <v>6</v>
      </c>
      <c r="L43" s="1">
        <v>6</v>
      </c>
      <c r="M43" s="28">
        <v>6</v>
      </c>
      <c r="N43" s="31">
        <v>0</v>
      </c>
      <c r="O43" s="14"/>
    </row>
    <row r="44" spans="1:15" ht="15" customHeight="1" thickBot="1" x14ac:dyDescent="0.35">
      <c r="A44" s="52">
        <f t="shared" si="2"/>
        <v>2026</v>
      </c>
      <c r="B44" s="1">
        <f t="shared" si="2"/>
        <v>1</v>
      </c>
      <c r="C44" s="1">
        <v>711</v>
      </c>
      <c r="D44" s="17">
        <v>46021</v>
      </c>
      <c r="E44" s="2">
        <v>65.5</v>
      </c>
      <c r="F44" s="10">
        <v>13</v>
      </c>
      <c r="G44" s="36" t="s">
        <v>15</v>
      </c>
      <c r="H44" s="1" t="s">
        <v>16</v>
      </c>
      <c r="I44" s="25"/>
      <c r="J44" s="1" t="s">
        <v>17</v>
      </c>
      <c r="K44" s="1"/>
      <c r="L44" s="1"/>
      <c r="M44" s="28"/>
      <c r="N44" s="31"/>
      <c r="O44" s="14"/>
    </row>
    <row r="45" spans="1:15" ht="15" customHeight="1" thickBot="1" x14ac:dyDescent="0.35">
      <c r="A45" s="52">
        <f t="shared" si="2"/>
        <v>2026</v>
      </c>
      <c r="B45" s="1">
        <f t="shared" si="2"/>
        <v>1</v>
      </c>
      <c r="C45" s="1">
        <v>716</v>
      </c>
      <c r="D45" s="17">
        <v>46021</v>
      </c>
      <c r="E45" s="2">
        <v>48</v>
      </c>
      <c r="F45" s="10">
        <v>17</v>
      </c>
      <c r="G45" s="36" t="s">
        <v>15</v>
      </c>
      <c r="H45" s="1" t="s">
        <v>16</v>
      </c>
      <c r="I45" s="25"/>
      <c r="J45" s="1" t="s">
        <v>17</v>
      </c>
      <c r="K45" s="1"/>
      <c r="L45" s="1"/>
      <c r="M45" s="28"/>
      <c r="N45" s="31"/>
      <c r="O45" s="77"/>
    </row>
    <row r="46" spans="1:15" ht="15" customHeight="1" x14ac:dyDescent="0.3">
      <c r="A46" s="52">
        <f t="shared" si="2"/>
        <v>2026</v>
      </c>
      <c r="B46" s="1">
        <f t="shared" si="2"/>
        <v>1</v>
      </c>
      <c r="C46" s="1">
        <v>723</v>
      </c>
      <c r="D46" s="17">
        <v>46021</v>
      </c>
      <c r="E46" s="2">
        <v>59.6</v>
      </c>
      <c r="F46" s="10">
        <v>16</v>
      </c>
      <c r="G46" s="36" t="s">
        <v>15</v>
      </c>
      <c r="H46" s="1" t="s">
        <v>16</v>
      </c>
      <c r="I46" s="25"/>
      <c r="J46" s="1" t="s">
        <v>17</v>
      </c>
      <c r="K46" s="1"/>
      <c r="L46" s="1"/>
      <c r="M46" s="28"/>
      <c r="N46" s="31"/>
      <c r="O46" s="14"/>
    </row>
    <row r="47" spans="1:15" ht="15" customHeight="1" x14ac:dyDescent="0.3">
      <c r="A47" s="52">
        <f t="shared" si="2"/>
        <v>2026</v>
      </c>
      <c r="B47" s="1">
        <f t="shared" si="2"/>
        <v>1</v>
      </c>
      <c r="C47" s="1">
        <v>801</v>
      </c>
      <c r="D47" s="17">
        <v>46021</v>
      </c>
      <c r="E47" s="2">
        <v>36.9</v>
      </c>
      <c r="F47" s="10">
        <v>22</v>
      </c>
      <c r="G47" s="36" t="s">
        <v>15</v>
      </c>
      <c r="H47" s="1" t="s">
        <v>29</v>
      </c>
      <c r="I47" s="25">
        <v>3</v>
      </c>
      <c r="J47" s="1" t="s">
        <v>17</v>
      </c>
      <c r="K47" s="1">
        <v>6</v>
      </c>
      <c r="L47" s="1">
        <v>8</v>
      </c>
      <c r="M47" s="28">
        <v>7</v>
      </c>
      <c r="N47" s="31">
        <v>1</v>
      </c>
      <c r="O47" s="7"/>
    </row>
    <row r="48" spans="1:15" ht="15" customHeight="1" thickBot="1" x14ac:dyDescent="0.35">
      <c r="A48" s="52">
        <f t="shared" si="2"/>
        <v>2026</v>
      </c>
      <c r="B48" s="1">
        <f t="shared" si="2"/>
        <v>1</v>
      </c>
      <c r="C48" s="1">
        <v>804</v>
      </c>
      <c r="D48" s="17">
        <v>46021</v>
      </c>
      <c r="E48" s="2">
        <v>33.1</v>
      </c>
      <c r="F48" s="10">
        <v>23</v>
      </c>
      <c r="G48" s="36" t="s">
        <v>15</v>
      </c>
      <c r="H48" s="1" t="s">
        <v>29</v>
      </c>
      <c r="I48" s="25">
        <v>4</v>
      </c>
      <c r="J48" s="1" t="s">
        <v>17</v>
      </c>
      <c r="K48" s="1">
        <v>5</v>
      </c>
      <c r="L48" s="1">
        <v>6</v>
      </c>
      <c r="M48" s="28">
        <v>5.75</v>
      </c>
      <c r="N48" s="31">
        <v>3</v>
      </c>
    </row>
    <row r="49" spans="1:15" ht="15" customHeight="1" x14ac:dyDescent="0.3">
      <c r="A49" s="74">
        <f t="shared" si="2"/>
        <v>2026</v>
      </c>
      <c r="B49" s="44">
        <f t="shared" si="2"/>
        <v>1</v>
      </c>
      <c r="C49" s="45">
        <v>809</v>
      </c>
      <c r="D49" s="19">
        <v>46020</v>
      </c>
      <c r="E49" s="4">
        <v>29.1</v>
      </c>
      <c r="F49" s="11">
        <v>25</v>
      </c>
      <c r="G49" s="37" t="s">
        <v>15</v>
      </c>
      <c r="H49" s="3" t="s">
        <v>16</v>
      </c>
      <c r="I49" s="26"/>
      <c r="J49" s="3" t="s">
        <v>17</v>
      </c>
      <c r="K49" s="3"/>
      <c r="L49" s="3"/>
      <c r="M49" s="29"/>
      <c r="N49" s="32"/>
      <c r="O49" s="96" t="s">
        <v>14</v>
      </c>
    </row>
    <row r="50" spans="1:15" ht="15" customHeight="1" x14ac:dyDescent="0.3">
      <c r="A50" s="74">
        <f t="shared" si="2"/>
        <v>2026</v>
      </c>
      <c r="B50" s="44">
        <f t="shared" si="2"/>
        <v>1</v>
      </c>
      <c r="C50" s="45">
        <v>812</v>
      </c>
      <c r="D50" s="19">
        <v>46020</v>
      </c>
      <c r="E50" s="4">
        <v>34.299999999999997</v>
      </c>
      <c r="F50" s="11">
        <v>15</v>
      </c>
      <c r="G50" s="37" t="s">
        <v>15</v>
      </c>
      <c r="H50" s="3" t="s">
        <v>16</v>
      </c>
      <c r="I50" s="26"/>
      <c r="J50" s="3" t="s">
        <v>17</v>
      </c>
      <c r="K50" s="3"/>
      <c r="L50" s="3"/>
      <c r="M50" s="29"/>
      <c r="N50" s="32"/>
      <c r="O50" s="97"/>
    </row>
    <row r="51" spans="1:15" ht="15" customHeight="1" x14ac:dyDescent="0.3">
      <c r="A51" s="52">
        <f t="shared" si="2"/>
        <v>2026</v>
      </c>
      <c r="B51" s="1">
        <f t="shared" si="2"/>
        <v>1</v>
      </c>
      <c r="C51" s="1">
        <v>815</v>
      </c>
      <c r="D51" s="17">
        <v>46020</v>
      </c>
      <c r="E51" s="2">
        <v>50.6</v>
      </c>
      <c r="F51" s="10">
        <v>19</v>
      </c>
      <c r="G51" s="36" t="s">
        <v>15</v>
      </c>
      <c r="H51" s="1" t="s">
        <v>16</v>
      </c>
      <c r="I51" s="25"/>
      <c r="J51" s="1" t="s">
        <v>17</v>
      </c>
      <c r="K51" s="1"/>
      <c r="L51" s="1"/>
      <c r="M51" s="28"/>
      <c r="N51" s="31"/>
      <c r="O51" s="66"/>
    </row>
    <row r="52" spans="1:15" ht="15" customHeight="1" x14ac:dyDescent="0.3">
      <c r="A52" s="52">
        <f t="shared" ref="A52:B60" si="3">A51</f>
        <v>2026</v>
      </c>
      <c r="B52" s="1">
        <f t="shared" si="3"/>
        <v>1</v>
      </c>
      <c r="C52" s="1" t="s">
        <v>24</v>
      </c>
      <c r="D52" s="17">
        <v>46020</v>
      </c>
      <c r="E52" s="2">
        <v>26.8</v>
      </c>
      <c r="F52" s="10">
        <v>30</v>
      </c>
      <c r="G52" s="36" t="s">
        <v>15</v>
      </c>
      <c r="H52" s="1" t="s">
        <v>16</v>
      </c>
      <c r="I52" s="10"/>
      <c r="J52" s="1" t="s">
        <v>17</v>
      </c>
      <c r="K52" s="1"/>
      <c r="L52" s="1"/>
      <c r="M52" s="28"/>
      <c r="N52" s="31"/>
      <c r="O52" s="66"/>
    </row>
    <row r="53" spans="1:15" ht="15" customHeight="1" x14ac:dyDescent="0.3">
      <c r="A53" s="52">
        <f t="shared" si="3"/>
        <v>2026</v>
      </c>
      <c r="B53" s="1">
        <f t="shared" si="3"/>
        <v>1</v>
      </c>
      <c r="C53" s="1">
        <v>902</v>
      </c>
      <c r="D53" s="17">
        <v>46020</v>
      </c>
      <c r="E53" s="2">
        <v>2.7</v>
      </c>
      <c r="F53" s="10">
        <v>200</v>
      </c>
      <c r="G53" s="36" t="s">
        <v>15</v>
      </c>
      <c r="H53" s="1" t="s">
        <v>16</v>
      </c>
      <c r="I53" s="10"/>
      <c r="J53" s="1" t="s">
        <v>17</v>
      </c>
      <c r="K53" s="1"/>
      <c r="L53" s="1"/>
      <c r="M53" s="28"/>
      <c r="N53" s="31"/>
      <c r="O53" s="66"/>
    </row>
    <row r="54" spans="1:15" ht="15" customHeight="1" x14ac:dyDescent="0.3">
      <c r="A54" s="52">
        <f t="shared" si="3"/>
        <v>2026</v>
      </c>
      <c r="B54" s="1">
        <f t="shared" si="3"/>
        <v>1</v>
      </c>
      <c r="C54" s="1">
        <v>906</v>
      </c>
      <c r="D54" s="17">
        <v>46020</v>
      </c>
      <c r="E54" s="2">
        <v>10.9</v>
      </c>
      <c r="F54" s="10">
        <v>60</v>
      </c>
      <c r="G54" s="36" t="s">
        <v>15</v>
      </c>
      <c r="H54" s="1" t="s">
        <v>16</v>
      </c>
      <c r="I54" s="10"/>
      <c r="J54" s="1" t="s">
        <v>17</v>
      </c>
      <c r="K54" s="1"/>
      <c r="L54" s="1"/>
      <c r="M54" s="28"/>
      <c r="N54" s="31"/>
      <c r="O54" s="66"/>
    </row>
    <row r="55" spans="1:15" ht="15" customHeight="1" x14ac:dyDescent="0.3">
      <c r="A55" s="52">
        <f t="shared" si="3"/>
        <v>2026</v>
      </c>
      <c r="B55" s="1">
        <f t="shared" si="3"/>
        <v>1</v>
      </c>
      <c r="C55" s="1">
        <v>910</v>
      </c>
      <c r="D55" s="17">
        <v>46020</v>
      </c>
      <c r="E55" s="2">
        <v>6.9</v>
      </c>
      <c r="F55" s="10">
        <v>95</v>
      </c>
      <c r="G55" s="36" t="s">
        <v>15</v>
      </c>
      <c r="H55" s="1" t="s">
        <v>16</v>
      </c>
      <c r="I55" s="10"/>
      <c r="J55" s="1" t="s">
        <v>17</v>
      </c>
      <c r="K55" s="1"/>
      <c r="L55" s="1"/>
      <c r="M55" s="28"/>
      <c r="N55" s="31"/>
      <c r="O55" s="66"/>
    </row>
    <row r="56" spans="1:15" ht="15" customHeight="1" x14ac:dyDescent="0.3">
      <c r="A56" s="52">
        <f t="shared" si="3"/>
        <v>2026</v>
      </c>
      <c r="B56" s="1">
        <f t="shared" si="3"/>
        <v>1</v>
      </c>
      <c r="C56" s="1">
        <v>912</v>
      </c>
      <c r="D56" s="17">
        <v>46020</v>
      </c>
      <c r="E56" s="2">
        <v>10.9</v>
      </c>
      <c r="F56" s="10">
        <v>78</v>
      </c>
      <c r="G56" s="36" t="s">
        <v>15</v>
      </c>
      <c r="H56" s="1" t="s">
        <v>16</v>
      </c>
      <c r="I56" s="10"/>
      <c r="J56" s="1" t="s">
        <v>17</v>
      </c>
      <c r="K56" s="1"/>
      <c r="L56" s="1"/>
      <c r="M56" s="28"/>
      <c r="N56" s="31"/>
      <c r="O56" s="66"/>
    </row>
    <row r="57" spans="1:15" ht="15" customHeight="1" x14ac:dyDescent="0.3">
      <c r="A57" s="52">
        <f t="shared" si="3"/>
        <v>2026</v>
      </c>
      <c r="B57" s="1">
        <f t="shared" si="3"/>
        <v>1</v>
      </c>
      <c r="C57" s="1">
        <v>914</v>
      </c>
      <c r="D57" s="17">
        <v>46020</v>
      </c>
      <c r="E57" s="2">
        <v>2.7</v>
      </c>
      <c r="F57" s="10">
        <v>200</v>
      </c>
      <c r="G57" s="36" t="s">
        <v>15</v>
      </c>
      <c r="H57" s="1" t="s">
        <v>16</v>
      </c>
      <c r="I57" s="10"/>
      <c r="J57" s="1" t="s">
        <v>17</v>
      </c>
      <c r="K57" s="1"/>
      <c r="L57" s="1"/>
      <c r="M57" s="28"/>
      <c r="N57" s="31"/>
      <c r="O57" s="66"/>
    </row>
    <row r="58" spans="1:15" ht="15" customHeight="1" x14ac:dyDescent="0.3">
      <c r="A58" s="52">
        <f t="shared" si="3"/>
        <v>2026</v>
      </c>
      <c r="B58" s="1">
        <f t="shared" si="3"/>
        <v>1</v>
      </c>
      <c r="C58" s="1">
        <v>915</v>
      </c>
      <c r="D58" s="17">
        <v>46020</v>
      </c>
      <c r="E58" s="2">
        <v>3.7</v>
      </c>
      <c r="F58" s="10">
        <v>155</v>
      </c>
      <c r="G58" s="36" t="s">
        <v>15</v>
      </c>
      <c r="H58" s="1" t="s">
        <v>16</v>
      </c>
      <c r="I58" s="10"/>
      <c r="J58" s="1" t="s">
        <v>17</v>
      </c>
      <c r="K58" s="1"/>
      <c r="L58" s="1"/>
      <c r="M58" s="28"/>
      <c r="N58" s="31"/>
      <c r="O58" s="66"/>
    </row>
    <row r="59" spans="1:15" ht="15" customHeight="1" x14ac:dyDescent="0.3">
      <c r="A59" s="84">
        <f t="shared" si="3"/>
        <v>2026</v>
      </c>
      <c r="B59" s="85">
        <f t="shared" si="3"/>
        <v>1</v>
      </c>
      <c r="C59" s="85">
        <v>918</v>
      </c>
      <c r="D59" s="86"/>
      <c r="E59" s="87"/>
      <c r="F59" s="88"/>
      <c r="G59" s="89" t="s">
        <v>28</v>
      </c>
      <c r="H59" s="85"/>
      <c r="I59" s="88"/>
      <c r="J59" s="85"/>
      <c r="K59" s="85"/>
      <c r="L59" s="85"/>
      <c r="M59" s="90"/>
      <c r="N59" s="91"/>
      <c r="O59" s="66"/>
    </row>
    <row r="60" spans="1:15" ht="15" customHeight="1" thickBot="1" x14ac:dyDescent="0.35">
      <c r="A60" s="75">
        <f t="shared" si="3"/>
        <v>2026</v>
      </c>
      <c r="B60" s="67">
        <f t="shared" si="3"/>
        <v>1</v>
      </c>
      <c r="C60" s="67">
        <v>919</v>
      </c>
      <c r="D60" s="68">
        <v>46020</v>
      </c>
      <c r="E60" s="69">
        <v>31.1</v>
      </c>
      <c r="F60" s="70">
        <v>24</v>
      </c>
      <c r="G60" s="71" t="s">
        <v>15</v>
      </c>
      <c r="H60" s="67" t="s">
        <v>16</v>
      </c>
      <c r="I60" s="70"/>
      <c r="J60" s="67" t="s">
        <v>17</v>
      </c>
      <c r="K60" s="67"/>
      <c r="L60" s="67"/>
      <c r="M60" s="72"/>
      <c r="N60" s="73"/>
      <c r="O60" s="66"/>
    </row>
    <row r="61" spans="1:15" ht="15" customHeight="1" x14ac:dyDescent="0.3">
      <c r="A61" s="79" t="s">
        <v>21</v>
      </c>
      <c r="B61" s="80"/>
      <c r="C61" s="80"/>
      <c r="D61" s="80"/>
      <c r="E61" s="16"/>
      <c r="F61" s="35"/>
      <c r="G61" s="16"/>
      <c r="H61" s="5"/>
      <c r="I61" s="35"/>
      <c r="J61" s="6"/>
      <c r="K61" s="6"/>
      <c r="L61" s="6"/>
      <c r="M61" s="42"/>
      <c r="N61" s="6"/>
      <c r="O61" s="14"/>
    </row>
    <row r="62" spans="1:15" ht="15" customHeight="1" x14ac:dyDescent="0.3">
      <c r="A62" s="79" t="s">
        <v>22</v>
      </c>
      <c r="B62" s="81"/>
      <c r="C62" s="81"/>
      <c r="D62" s="81"/>
      <c r="E62" s="27"/>
      <c r="F62" s="35"/>
      <c r="G62" s="27"/>
      <c r="H62" s="27"/>
      <c r="I62" s="35"/>
      <c r="J62" s="27"/>
      <c r="K62" s="27"/>
      <c r="L62" s="27"/>
      <c r="M62" s="43"/>
      <c r="N62" s="27"/>
      <c r="O62" s="14"/>
    </row>
    <row r="63" spans="1:15" ht="15" customHeight="1" x14ac:dyDescent="0.3">
      <c r="A63" s="79" t="s">
        <v>23</v>
      </c>
      <c r="B63" s="81"/>
      <c r="C63" s="81"/>
      <c r="D63" s="81"/>
      <c r="E63" s="35"/>
      <c r="F63" s="35"/>
      <c r="G63" s="35"/>
      <c r="H63" s="35"/>
      <c r="I63" s="35"/>
      <c r="J63" s="56"/>
      <c r="K63" s="35"/>
      <c r="L63" s="35"/>
      <c r="M63" s="59"/>
      <c r="N63" s="35"/>
      <c r="O63" s="14"/>
    </row>
    <row r="64" spans="1:15" ht="15" customHeight="1" x14ac:dyDescent="0.3">
      <c r="A64" s="82" t="s">
        <v>30</v>
      </c>
      <c r="B64" s="83"/>
      <c r="C64" s="83"/>
      <c r="D64" s="81"/>
      <c r="E64" s="35"/>
      <c r="F64" s="35"/>
      <c r="G64" s="35"/>
      <c r="H64" s="35"/>
      <c r="I64" s="35"/>
      <c r="J64" s="56"/>
      <c r="K64" s="35"/>
      <c r="L64" s="35"/>
      <c r="M64" s="59"/>
      <c r="N64" s="35"/>
      <c r="O64" s="14"/>
    </row>
    <row r="65" spans="14:14" ht="15" customHeight="1" x14ac:dyDescent="0.3">
      <c r="N65" s="62"/>
    </row>
  </sheetData>
  <mergeCells count="1">
    <mergeCell ref="O49:O50"/>
  </mergeCells>
  <dataValidations count="4">
    <dataValidation type="list" allowBlank="1" showInputMessage="1" showErrorMessage="1" sqref="G60 G2:G58" xr:uid="{2222D4CE-559C-47D2-A208-7F6385C24CCC}">
      <formula1>"Not Processed, Processed"</formula1>
    </dataValidation>
    <dataValidation type="list" allowBlank="1" showInputMessage="1" showErrorMessage="1" sqref="H2:H60" xr:uid="{C16F4E2C-25A0-4BA3-922A-3F1C5546EFBE}">
      <formula1>"No Smelt Catch, Longfin Smelt "</formula1>
    </dataValidation>
    <dataValidation type="list" allowBlank="1" showInputMessage="1" showErrorMessage="1" sqref="J2:J60" xr:uid="{3FB69F6B-D4BA-47F8-B001-CA8483CEA672}">
      <formula1>"Preliminary, Completed"</formula1>
    </dataValidation>
    <dataValidation type="list" allowBlank="1" showInputMessage="1" showErrorMessage="1" sqref="G59" xr:uid="{C472153B-B925-49EB-9996-992224A31303}">
      <formula1>"Not Processed, Processed, Not Sampled"</formula1>
    </dataValidation>
  </dataValidations>
  <pageMargins left="0.7" right="0.7" top="0.75" bottom="0.75" header="0.3" footer="0.3"/>
  <pageSetup scale="1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6F3D-7537-4F6F-BFFA-DC500CC10CD5}">
  <dimension ref="A1:N64"/>
  <sheetViews>
    <sheetView workbookViewId="0">
      <selection activeCell="P25" sqref="P25"/>
    </sheetView>
  </sheetViews>
  <sheetFormatPr defaultRowHeight="14.4" x14ac:dyDescent="0.3"/>
  <cols>
    <col min="7" max="7" width="13.44140625" bestFit="1" customWidth="1"/>
    <col min="8" max="8" width="16.33203125" customWidth="1"/>
    <col min="9" max="9" width="7.88671875" customWidth="1"/>
    <col min="10" max="10" width="11.44140625" customWidth="1"/>
    <col min="14" max="14" width="13.33203125" customWidth="1"/>
  </cols>
  <sheetData>
    <row r="1" spans="1:14" ht="27" thickBot="1" x14ac:dyDescent="0.35">
      <c r="A1" s="58" t="s">
        <v>0</v>
      </c>
      <c r="B1" s="46" t="s">
        <v>1</v>
      </c>
      <c r="C1" s="46" t="s">
        <v>2</v>
      </c>
      <c r="D1" s="47" t="s">
        <v>11</v>
      </c>
      <c r="E1" s="46" t="s">
        <v>13</v>
      </c>
      <c r="F1" s="46" t="s">
        <v>10</v>
      </c>
      <c r="G1" s="48" t="s">
        <v>3</v>
      </c>
      <c r="H1" s="46" t="s">
        <v>4</v>
      </c>
      <c r="I1" s="46" t="s">
        <v>5</v>
      </c>
      <c r="J1" s="46" t="s">
        <v>9</v>
      </c>
      <c r="K1" s="46" t="s">
        <v>6</v>
      </c>
      <c r="L1" s="46" t="s">
        <v>7</v>
      </c>
      <c r="M1" s="49" t="s">
        <v>8</v>
      </c>
      <c r="N1" s="50" t="s">
        <v>12</v>
      </c>
    </row>
    <row r="2" spans="1:14" x14ac:dyDescent="0.3">
      <c r="A2" s="51">
        <v>2026</v>
      </c>
      <c r="B2" s="1">
        <v>2</v>
      </c>
      <c r="C2" s="9">
        <v>306</v>
      </c>
      <c r="D2" s="20">
        <v>46034</v>
      </c>
      <c r="E2" s="9">
        <v>8.8000000000000007</v>
      </c>
      <c r="F2" s="12">
        <v>47</v>
      </c>
      <c r="G2" s="36" t="s">
        <v>15</v>
      </c>
      <c r="H2" s="8" t="s">
        <v>29</v>
      </c>
      <c r="I2" s="23">
        <v>1</v>
      </c>
      <c r="J2" s="8" t="s">
        <v>17</v>
      </c>
      <c r="K2" s="9">
        <v>7</v>
      </c>
      <c r="L2" s="9">
        <v>7</v>
      </c>
      <c r="M2" s="39">
        <v>7</v>
      </c>
      <c r="N2" s="33">
        <v>1</v>
      </c>
    </row>
    <row r="3" spans="1:14" x14ac:dyDescent="0.3">
      <c r="A3" s="52">
        <v>2026</v>
      </c>
      <c r="B3" s="1">
        <v>2</v>
      </c>
      <c r="C3" s="8">
        <v>308</v>
      </c>
      <c r="D3" s="18">
        <v>46034</v>
      </c>
      <c r="E3" s="8">
        <v>9.6999999999999993</v>
      </c>
      <c r="F3" s="13">
        <v>58</v>
      </c>
      <c r="G3" s="36" t="s">
        <v>15</v>
      </c>
      <c r="H3" s="8" t="s">
        <v>16</v>
      </c>
      <c r="I3" s="24"/>
      <c r="J3" s="8" t="s">
        <v>17</v>
      </c>
      <c r="K3" s="8"/>
      <c r="L3" s="8"/>
      <c r="M3" s="40"/>
      <c r="N3" s="30"/>
    </row>
    <row r="4" spans="1:14" x14ac:dyDescent="0.3">
      <c r="A4" s="52">
        <v>2026</v>
      </c>
      <c r="B4" s="1">
        <v>2</v>
      </c>
      <c r="C4" s="8">
        <v>311</v>
      </c>
      <c r="D4" s="18">
        <v>46034</v>
      </c>
      <c r="E4" s="8">
        <v>11.7</v>
      </c>
      <c r="F4" s="13">
        <v>42</v>
      </c>
      <c r="G4" s="36" t="s">
        <v>15</v>
      </c>
      <c r="H4" s="8" t="s">
        <v>16</v>
      </c>
      <c r="I4" s="24"/>
      <c r="J4" s="8" t="s">
        <v>17</v>
      </c>
      <c r="K4" s="8"/>
      <c r="L4" s="8"/>
      <c r="M4" s="40"/>
      <c r="N4" s="30"/>
    </row>
    <row r="5" spans="1:14" x14ac:dyDescent="0.3">
      <c r="A5" s="52">
        <v>2026</v>
      </c>
      <c r="B5" s="1">
        <v>2</v>
      </c>
      <c r="C5" s="8">
        <v>315</v>
      </c>
      <c r="D5" s="20">
        <v>46034</v>
      </c>
      <c r="E5" s="9">
        <v>11.9</v>
      </c>
      <c r="F5" s="12">
        <v>49</v>
      </c>
      <c r="G5" s="36" t="s">
        <v>15</v>
      </c>
      <c r="H5" s="8" t="s">
        <v>16</v>
      </c>
      <c r="I5" s="23"/>
      <c r="J5" s="8" t="s">
        <v>17</v>
      </c>
      <c r="K5" s="9"/>
      <c r="L5" s="9"/>
      <c r="M5" s="41"/>
      <c r="N5" s="34"/>
    </row>
    <row r="6" spans="1:14" x14ac:dyDescent="0.3">
      <c r="A6" s="52">
        <v>2026</v>
      </c>
      <c r="B6" s="1">
        <v>2</v>
      </c>
      <c r="C6" s="8">
        <v>322</v>
      </c>
      <c r="D6" s="18">
        <v>46034</v>
      </c>
      <c r="E6" s="8">
        <v>10.6</v>
      </c>
      <c r="F6" s="13">
        <v>47</v>
      </c>
      <c r="G6" s="36" t="s">
        <v>15</v>
      </c>
      <c r="H6" s="8" t="s">
        <v>16</v>
      </c>
      <c r="I6" s="24"/>
      <c r="J6" s="8" t="s">
        <v>17</v>
      </c>
      <c r="K6" s="8"/>
      <c r="L6" s="8"/>
      <c r="M6" s="40"/>
      <c r="N6" s="30"/>
    </row>
    <row r="7" spans="1:14" x14ac:dyDescent="0.3">
      <c r="A7" s="52">
        <v>2026</v>
      </c>
      <c r="B7" s="1">
        <v>2</v>
      </c>
      <c r="C7" s="8">
        <v>323</v>
      </c>
      <c r="D7" s="18">
        <v>46034</v>
      </c>
      <c r="E7" s="8">
        <v>19.399999999999999</v>
      </c>
      <c r="F7" s="13">
        <v>34</v>
      </c>
      <c r="G7" s="36" t="s">
        <v>15</v>
      </c>
      <c r="H7" s="8" t="s">
        <v>29</v>
      </c>
      <c r="I7" s="24">
        <v>9</v>
      </c>
      <c r="J7" s="8" t="s">
        <v>17</v>
      </c>
      <c r="K7" s="8">
        <v>7</v>
      </c>
      <c r="L7" s="8">
        <v>8</v>
      </c>
      <c r="M7" s="40">
        <v>7.333333333333333</v>
      </c>
      <c r="N7" s="30">
        <v>6</v>
      </c>
    </row>
    <row r="8" spans="1:14" x14ac:dyDescent="0.3">
      <c r="A8" s="52">
        <v>2026</v>
      </c>
      <c r="B8" s="1">
        <v>2</v>
      </c>
      <c r="C8" s="8">
        <v>327</v>
      </c>
      <c r="D8" s="18">
        <v>46034</v>
      </c>
      <c r="E8" s="8">
        <v>13.6</v>
      </c>
      <c r="F8" s="13">
        <v>44</v>
      </c>
      <c r="G8" s="36" t="s">
        <v>15</v>
      </c>
      <c r="H8" s="8" t="s">
        <v>16</v>
      </c>
      <c r="I8" s="24"/>
      <c r="J8" s="8" t="s">
        <v>17</v>
      </c>
      <c r="K8" s="8"/>
      <c r="L8" s="8"/>
      <c r="M8" s="40"/>
      <c r="N8" s="30"/>
    </row>
    <row r="9" spans="1:14" x14ac:dyDescent="0.3">
      <c r="A9" s="52">
        <v>2026</v>
      </c>
      <c r="B9" s="1">
        <v>2</v>
      </c>
      <c r="C9" s="8">
        <v>328</v>
      </c>
      <c r="D9" s="18">
        <v>46034</v>
      </c>
      <c r="E9" s="8">
        <v>13.6</v>
      </c>
      <c r="F9" s="13">
        <v>39</v>
      </c>
      <c r="G9" s="36" t="s">
        <v>15</v>
      </c>
      <c r="H9" s="8" t="s">
        <v>29</v>
      </c>
      <c r="I9" s="24">
        <v>7</v>
      </c>
      <c r="J9" s="8" t="s">
        <v>17</v>
      </c>
      <c r="K9" s="8">
        <v>6</v>
      </c>
      <c r="L9" s="8">
        <v>8</v>
      </c>
      <c r="M9" s="40">
        <v>7.1428571428571432</v>
      </c>
      <c r="N9" s="30">
        <v>5</v>
      </c>
    </row>
    <row r="10" spans="1:14" x14ac:dyDescent="0.3">
      <c r="A10" s="52">
        <v>2026</v>
      </c>
      <c r="B10" s="1">
        <v>2</v>
      </c>
      <c r="C10" s="8">
        <v>329</v>
      </c>
      <c r="D10" s="18">
        <v>46034</v>
      </c>
      <c r="E10" s="8">
        <v>12.2</v>
      </c>
      <c r="F10" s="13">
        <v>48</v>
      </c>
      <c r="G10" s="36" t="s">
        <v>15</v>
      </c>
      <c r="H10" s="8" t="s">
        <v>29</v>
      </c>
      <c r="I10" s="24">
        <v>2</v>
      </c>
      <c r="J10" s="8" t="s">
        <v>17</v>
      </c>
      <c r="K10" s="8">
        <v>8</v>
      </c>
      <c r="L10" s="8">
        <v>8</v>
      </c>
      <c r="M10" s="40">
        <v>8</v>
      </c>
      <c r="N10" s="30">
        <v>0</v>
      </c>
    </row>
    <row r="11" spans="1:14" x14ac:dyDescent="0.3">
      <c r="A11" s="52">
        <v>2026</v>
      </c>
      <c r="B11" s="1">
        <v>2</v>
      </c>
      <c r="C11" s="8">
        <v>330</v>
      </c>
      <c r="D11" s="18">
        <v>46034</v>
      </c>
      <c r="E11" s="8">
        <v>20.399999999999999</v>
      </c>
      <c r="F11" s="13">
        <v>33</v>
      </c>
      <c r="G11" s="36" t="s">
        <v>15</v>
      </c>
      <c r="H11" s="8" t="s">
        <v>29</v>
      </c>
      <c r="I11" s="24">
        <v>14</v>
      </c>
      <c r="J11" s="8" t="s">
        <v>17</v>
      </c>
      <c r="K11" s="8">
        <v>7</v>
      </c>
      <c r="L11" s="8">
        <v>8</v>
      </c>
      <c r="M11" s="40">
        <v>7.5</v>
      </c>
      <c r="N11" s="30">
        <v>10</v>
      </c>
    </row>
    <row r="12" spans="1:14" x14ac:dyDescent="0.3">
      <c r="A12" s="52">
        <v>2026</v>
      </c>
      <c r="B12" s="1">
        <v>2</v>
      </c>
      <c r="C12" s="8">
        <v>335</v>
      </c>
      <c r="D12" s="20">
        <v>46034</v>
      </c>
      <c r="E12" s="9">
        <v>14.3</v>
      </c>
      <c r="F12" s="12">
        <v>43</v>
      </c>
      <c r="G12" s="36" t="s">
        <v>15</v>
      </c>
      <c r="H12" s="9" t="s">
        <v>29</v>
      </c>
      <c r="I12" s="23">
        <v>4</v>
      </c>
      <c r="J12" s="9" t="s">
        <v>17</v>
      </c>
      <c r="K12" s="9">
        <v>7</v>
      </c>
      <c r="L12" s="9">
        <v>8</v>
      </c>
      <c r="M12" s="41">
        <v>7.25</v>
      </c>
      <c r="N12" s="34">
        <v>2</v>
      </c>
    </row>
    <row r="13" spans="1:14" x14ac:dyDescent="0.3">
      <c r="A13" s="52">
        <v>2026</v>
      </c>
      <c r="B13" s="1">
        <v>2</v>
      </c>
      <c r="C13" s="8">
        <v>336</v>
      </c>
      <c r="D13" s="18">
        <v>46034</v>
      </c>
      <c r="E13" s="8">
        <v>13.7</v>
      </c>
      <c r="F13" s="13">
        <v>42</v>
      </c>
      <c r="G13" s="36" t="s">
        <v>15</v>
      </c>
      <c r="H13" s="8" t="s">
        <v>29</v>
      </c>
      <c r="I13" s="24">
        <v>11</v>
      </c>
      <c r="J13" s="8" t="s">
        <v>17</v>
      </c>
      <c r="K13" s="8">
        <v>6</v>
      </c>
      <c r="L13" s="8">
        <v>8</v>
      </c>
      <c r="M13" s="40">
        <v>7.4545454545454541</v>
      </c>
      <c r="N13" s="30">
        <v>11</v>
      </c>
    </row>
    <row r="14" spans="1:14" x14ac:dyDescent="0.3">
      <c r="A14" s="52">
        <v>2026</v>
      </c>
      <c r="B14" s="1">
        <v>2</v>
      </c>
      <c r="C14" s="8">
        <v>338</v>
      </c>
      <c r="D14" s="18">
        <v>46035</v>
      </c>
      <c r="E14" s="8">
        <v>12</v>
      </c>
      <c r="F14" s="13">
        <v>47</v>
      </c>
      <c r="G14" s="36" t="s">
        <v>15</v>
      </c>
      <c r="H14" s="8" t="s">
        <v>29</v>
      </c>
      <c r="I14" s="24">
        <v>7</v>
      </c>
      <c r="J14" s="8" t="s">
        <v>17</v>
      </c>
      <c r="K14" s="8">
        <v>6</v>
      </c>
      <c r="L14" s="8">
        <v>8</v>
      </c>
      <c r="M14" s="40">
        <v>7</v>
      </c>
      <c r="N14" s="30">
        <v>6</v>
      </c>
    </row>
    <row r="15" spans="1:14" x14ac:dyDescent="0.3">
      <c r="A15" s="52">
        <v>2026</v>
      </c>
      <c r="B15" s="1">
        <v>2</v>
      </c>
      <c r="C15" s="1">
        <v>340</v>
      </c>
      <c r="D15" s="17">
        <v>46035</v>
      </c>
      <c r="E15" s="8">
        <v>15.7</v>
      </c>
      <c r="F15" s="13">
        <v>38</v>
      </c>
      <c r="G15" s="36" t="s">
        <v>15</v>
      </c>
      <c r="H15" s="8" t="s">
        <v>29</v>
      </c>
      <c r="I15" s="24">
        <v>19</v>
      </c>
      <c r="J15" s="8" t="s">
        <v>17</v>
      </c>
      <c r="K15" s="8">
        <v>6</v>
      </c>
      <c r="L15" s="8">
        <v>8</v>
      </c>
      <c r="M15" s="40">
        <v>7.1052631578947372</v>
      </c>
      <c r="N15" s="30">
        <v>14</v>
      </c>
    </row>
    <row r="16" spans="1:14" x14ac:dyDescent="0.3">
      <c r="A16" s="84">
        <v>2026</v>
      </c>
      <c r="B16" s="85">
        <v>2</v>
      </c>
      <c r="C16" s="85">
        <v>342</v>
      </c>
      <c r="D16" s="86"/>
      <c r="E16" s="87"/>
      <c r="F16" s="88"/>
      <c r="G16" s="89" t="s">
        <v>28</v>
      </c>
      <c r="H16" s="85"/>
      <c r="I16" s="92"/>
      <c r="J16" s="93"/>
      <c r="K16" s="85"/>
      <c r="L16" s="85"/>
      <c r="M16" s="90"/>
      <c r="N16" s="91"/>
    </row>
    <row r="17" spans="1:14" x14ac:dyDescent="0.3">
      <c r="A17" s="84">
        <v>2026</v>
      </c>
      <c r="B17" s="85">
        <v>2</v>
      </c>
      <c r="C17" s="85">
        <v>343</v>
      </c>
      <c r="D17" s="86"/>
      <c r="E17" s="87"/>
      <c r="F17" s="88"/>
      <c r="G17" s="89" t="s">
        <v>28</v>
      </c>
      <c r="H17" s="85"/>
      <c r="I17" s="92"/>
      <c r="J17" s="93"/>
      <c r="K17" s="85"/>
      <c r="L17" s="85"/>
      <c r="M17" s="90"/>
      <c r="N17" s="91"/>
    </row>
    <row r="18" spans="1:14" x14ac:dyDescent="0.3">
      <c r="A18" s="84">
        <v>2026</v>
      </c>
      <c r="B18" s="85">
        <v>2</v>
      </c>
      <c r="C18" s="85">
        <v>344</v>
      </c>
      <c r="D18" s="86"/>
      <c r="E18" s="87"/>
      <c r="F18" s="88"/>
      <c r="G18" s="89" t="s">
        <v>28</v>
      </c>
      <c r="H18" s="85"/>
      <c r="I18" s="92"/>
      <c r="J18" s="93"/>
      <c r="K18" s="85"/>
      <c r="L18" s="85"/>
      <c r="M18" s="90"/>
      <c r="N18" s="91"/>
    </row>
    <row r="19" spans="1:14" x14ac:dyDescent="0.3">
      <c r="A19" s="84">
        <v>2026</v>
      </c>
      <c r="B19" s="85">
        <v>2</v>
      </c>
      <c r="C19" s="85">
        <v>345</v>
      </c>
      <c r="D19" s="86"/>
      <c r="E19" s="87"/>
      <c r="F19" s="88"/>
      <c r="G19" s="89" t="s">
        <v>28</v>
      </c>
      <c r="H19" s="85"/>
      <c r="I19" s="92"/>
      <c r="J19" s="93"/>
      <c r="K19" s="85"/>
      <c r="L19" s="85"/>
      <c r="M19" s="90"/>
      <c r="N19" s="91"/>
    </row>
    <row r="20" spans="1:14" x14ac:dyDescent="0.3">
      <c r="A20" s="84">
        <v>2026</v>
      </c>
      <c r="B20" s="85">
        <v>2</v>
      </c>
      <c r="C20" s="85">
        <v>346</v>
      </c>
      <c r="D20" s="86"/>
      <c r="E20" s="87"/>
      <c r="F20" s="88"/>
      <c r="G20" s="89" t="s">
        <v>28</v>
      </c>
      <c r="H20" s="85"/>
      <c r="I20" s="92"/>
      <c r="J20" s="93"/>
      <c r="K20" s="85"/>
      <c r="L20" s="85"/>
      <c r="M20" s="90"/>
      <c r="N20" s="91"/>
    </row>
    <row r="21" spans="1:14" x14ac:dyDescent="0.3">
      <c r="A21" s="84">
        <v>2026</v>
      </c>
      <c r="B21" s="85">
        <v>2</v>
      </c>
      <c r="C21" s="85">
        <v>347</v>
      </c>
      <c r="D21" s="86"/>
      <c r="E21" s="87"/>
      <c r="F21" s="88"/>
      <c r="G21" s="89" t="s">
        <v>28</v>
      </c>
      <c r="H21" s="85"/>
      <c r="I21" s="92"/>
      <c r="J21" s="93"/>
      <c r="K21" s="85"/>
      <c r="L21" s="85"/>
      <c r="M21" s="90"/>
      <c r="N21" s="91"/>
    </row>
    <row r="22" spans="1:14" x14ac:dyDescent="0.3">
      <c r="A22" s="84">
        <v>2026</v>
      </c>
      <c r="B22" s="85">
        <v>2</v>
      </c>
      <c r="C22" s="85">
        <v>348</v>
      </c>
      <c r="D22" s="86"/>
      <c r="E22" s="87"/>
      <c r="F22" s="88"/>
      <c r="G22" s="89" t="s">
        <v>28</v>
      </c>
      <c r="H22" s="85"/>
      <c r="I22" s="92"/>
      <c r="J22" s="93"/>
      <c r="K22" s="85"/>
      <c r="L22" s="85"/>
      <c r="M22" s="90"/>
      <c r="N22" s="91"/>
    </row>
    <row r="23" spans="1:14" x14ac:dyDescent="0.3">
      <c r="A23" s="84">
        <v>2026</v>
      </c>
      <c r="B23" s="85">
        <v>2</v>
      </c>
      <c r="C23" s="85">
        <v>349</v>
      </c>
      <c r="D23" s="86"/>
      <c r="E23" s="87"/>
      <c r="F23" s="88"/>
      <c r="G23" s="89" t="s">
        <v>28</v>
      </c>
      <c r="H23" s="85"/>
      <c r="I23" s="92"/>
      <c r="J23" s="85"/>
      <c r="K23" s="85"/>
      <c r="L23" s="85"/>
      <c r="M23" s="90"/>
      <c r="N23" s="91"/>
    </row>
    <row r="24" spans="1:14" x14ac:dyDescent="0.3">
      <c r="A24" s="52">
        <v>2026</v>
      </c>
      <c r="B24" s="1">
        <v>2</v>
      </c>
      <c r="C24" s="1">
        <v>401</v>
      </c>
      <c r="D24" s="53">
        <v>46035</v>
      </c>
      <c r="E24" s="2">
        <v>20.8</v>
      </c>
      <c r="F24" s="10">
        <v>28</v>
      </c>
      <c r="G24" s="36" t="s">
        <v>15</v>
      </c>
      <c r="H24" s="1" t="s">
        <v>29</v>
      </c>
      <c r="I24" s="25">
        <v>57</v>
      </c>
      <c r="J24" s="8" t="s">
        <v>17</v>
      </c>
      <c r="K24" s="1">
        <v>6</v>
      </c>
      <c r="L24" s="1">
        <v>8</v>
      </c>
      <c r="M24" s="28">
        <v>7.333333333333333</v>
      </c>
      <c r="N24" s="31">
        <v>47</v>
      </c>
    </row>
    <row r="25" spans="1:14" x14ac:dyDescent="0.3">
      <c r="A25" s="52">
        <v>2026</v>
      </c>
      <c r="B25" s="1">
        <v>2</v>
      </c>
      <c r="C25" s="8">
        <v>404</v>
      </c>
      <c r="D25" s="18">
        <v>46034</v>
      </c>
      <c r="E25" s="2">
        <v>17.899999999999999</v>
      </c>
      <c r="F25" s="10">
        <v>38</v>
      </c>
      <c r="G25" s="36" t="s">
        <v>15</v>
      </c>
      <c r="H25" s="1" t="s">
        <v>19</v>
      </c>
      <c r="I25" s="25">
        <v>17</v>
      </c>
      <c r="J25" s="8" t="s">
        <v>17</v>
      </c>
      <c r="K25" s="1">
        <v>6</v>
      </c>
      <c r="L25" s="1">
        <v>8</v>
      </c>
      <c r="M25" s="28">
        <v>6.9</v>
      </c>
      <c r="N25" s="31">
        <v>6</v>
      </c>
    </row>
    <row r="26" spans="1:14" x14ac:dyDescent="0.3">
      <c r="A26" s="52">
        <v>2026</v>
      </c>
      <c r="B26" s="1">
        <v>2</v>
      </c>
      <c r="C26" s="1">
        <v>405</v>
      </c>
      <c r="D26" s="17">
        <v>46034</v>
      </c>
      <c r="E26" s="2">
        <v>22.1</v>
      </c>
      <c r="F26" s="10">
        <v>35</v>
      </c>
      <c r="G26" s="36" t="s">
        <v>15</v>
      </c>
      <c r="H26" s="1" t="s">
        <v>19</v>
      </c>
      <c r="I26" s="25">
        <v>177</v>
      </c>
      <c r="J26" s="1" t="s">
        <v>17</v>
      </c>
      <c r="K26" s="1">
        <v>5</v>
      </c>
      <c r="L26" s="1">
        <v>9</v>
      </c>
      <c r="M26" s="28">
        <v>7.34</v>
      </c>
      <c r="N26" s="31">
        <v>116</v>
      </c>
    </row>
    <row r="27" spans="1:14" x14ac:dyDescent="0.3">
      <c r="A27" s="52">
        <v>2026</v>
      </c>
      <c r="B27" s="1">
        <v>2</v>
      </c>
      <c r="C27" s="1">
        <v>411</v>
      </c>
      <c r="D27" s="17">
        <v>46035</v>
      </c>
      <c r="E27" s="2">
        <v>27.3</v>
      </c>
      <c r="F27" s="10">
        <v>23</v>
      </c>
      <c r="G27" s="36" t="s">
        <v>15</v>
      </c>
      <c r="H27" s="1" t="s">
        <v>29</v>
      </c>
      <c r="I27" s="25">
        <v>36</v>
      </c>
      <c r="J27" s="1" t="s">
        <v>17</v>
      </c>
      <c r="K27" s="1">
        <v>6</v>
      </c>
      <c r="L27" s="1">
        <v>8</v>
      </c>
      <c r="M27" s="28">
        <v>7.5</v>
      </c>
      <c r="N27" s="31">
        <v>17</v>
      </c>
    </row>
    <row r="28" spans="1:14" x14ac:dyDescent="0.3">
      <c r="A28" s="52">
        <v>2026</v>
      </c>
      <c r="B28" s="1">
        <v>2</v>
      </c>
      <c r="C28" s="1">
        <v>418</v>
      </c>
      <c r="D28" s="17">
        <v>46035</v>
      </c>
      <c r="E28" s="2">
        <v>25.6</v>
      </c>
      <c r="F28" s="10">
        <v>25</v>
      </c>
      <c r="G28" s="36" t="s">
        <v>15</v>
      </c>
      <c r="H28" s="1" t="s">
        <v>29</v>
      </c>
      <c r="I28" s="25">
        <v>49</v>
      </c>
      <c r="J28" s="1" t="s">
        <v>17</v>
      </c>
      <c r="K28" s="1">
        <v>5</v>
      </c>
      <c r="L28" s="1">
        <v>8</v>
      </c>
      <c r="M28" s="28">
        <v>6.8979591836734695</v>
      </c>
      <c r="N28" s="31">
        <v>41</v>
      </c>
    </row>
    <row r="29" spans="1:14" x14ac:dyDescent="0.3">
      <c r="A29" s="52">
        <v>2026</v>
      </c>
      <c r="B29" s="1">
        <v>2</v>
      </c>
      <c r="C29" s="1">
        <v>501</v>
      </c>
      <c r="D29" s="17">
        <v>46035</v>
      </c>
      <c r="E29" s="2">
        <v>35</v>
      </c>
      <c r="F29" s="10">
        <v>24</v>
      </c>
      <c r="G29" s="36" t="s">
        <v>15</v>
      </c>
      <c r="H29" s="1" t="s">
        <v>29</v>
      </c>
      <c r="I29" s="25">
        <v>1</v>
      </c>
      <c r="J29" s="1" t="s">
        <v>17</v>
      </c>
      <c r="K29" s="1">
        <v>7</v>
      </c>
      <c r="L29" s="1">
        <v>7</v>
      </c>
      <c r="M29" s="28">
        <v>7</v>
      </c>
      <c r="N29" s="31">
        <v>1</v>
      </c>
    </row>
    <row r="30" spans="1:14" x14ac:dyDescent="0.3">
      <c r="A30" s="52">
        <v>2026</v>
      </c>
      <c r="B30" s="1">
        <v>2</v>
      </c>
      <c r="C30" s="1">
        <v>504</v>
      </c>
      <c r="D30" s="17">
        <v>46035</v>
      </c>
      <c r="E30" s="2">
        <v>30.5</v>
      </c>
      <c r="F30" s="10">
        <v>27</v>
      </c>
      <c r="G30" s="36" t="s">
        <v>15</v>
      </c>
      <c r="H30" s="1" t="s">
        <v>29</v>
      </c>
      <c r="I30" s="25">
        <v>6</v>
      </c>
      <c r="J30" s="1" t="s">
        <v>17</v>
      </c>
      <c r="K30" s="1">
        <v>6</v>
      </c>
      <c r="L30" s="1">
        <v>6</v>
      </c>
      <c r="M30" s="28">
        <v>6</v>
      </c>
      <c r="N30" s="31">
        <v>6</v>
      </c>
    </row>
    <row r="31" spans="1:14" x14ac:dyDescent="0.3">
      <c r="A31" s="52">
        <v>2026</v>
      </c>
      <c r="B31" s="1">
        <v>2</v>
      </c>
      <c r="C31" s="1">
        <v>508</v>
      </c>
      <c r="D31" s="17">
        <v>46035</v>
      </c>
      <c r="E31" s="2">
        <v>29.1</v>
      </c>
      <c r="F31" s="10">
        <v>24</v>
      </c>
      <c r="G31" s="36" t="s">
        <v>15</v>
      </c>
      <c r="H31" s="1" t="s">
        <v>29</v>
      </c>
      <c r="I31" s="38">
        <v>5</v>
      </c>
      <c r="J31" s="54" t="s">
        <v>17</v>
      </c>
      <c r="K31" s="1">
        <v>6</v>
      </c>
      <c r="L31" s="1">
        <v>7</v>
      </c>
      <c r="M31" s="2">
        <v>6.2</v>
      </c>
      <c r="N31" s="31">
        <v>4</v>
      </c>
    </row>
    <row r="32" spans="1:14" x14ac:dyDescent="0.3">
      <c r="A32" s="52">
        <v>2026</v>
      </c>
      <c r="B32" s="1">
        <v>2</v>
      </c>
      <c r="C32" s="1">
        <v>513</v>
      </c>
      <c r="D32" s="17">
        <v>46036</v>
      </c>
      <c r="E32" s="2">
        <v>32.1</v>
      </c>
      <c r="F32" s="10">
        <v>30</v>
      </c>
      <c r="G32" s="36" t="s">
        <v>15</v>
      </c>
      <c r="H32" s="1" t="s">
        <v>29</v>
      </c>
      <c r="I32" s="38">
        <v>1</v>
      </c>
      <c r="J32" s="55" t="s">
        <v>17</v>
      </c>
      <c r="K32" s="1">
        <v>7</v>
      </c>
      <c r="L32" s="1">
        <v>7</v>
      </c>
      <c r="M32" s="2">
        <v>7</v>
      </c>
      <c r="N32" s="31">
        <v>1</v>
      </c>
    </row>
    <row r="33" spans="1:14" x14ac:dyDescent="0.3">
      <c r="A33" s="52">
        <v>2026</v>
      </c>
      <c r="B33" s="1">
        <v>2</v>
      </c>
      <c r="C33" s="1">
        <v>519</v>
      </c>
      <c r="D33" s="17">
        <v>46035</v>
      </c>
      <c r="E33" s="2">
        <v>36.1</v>
      </c>
      <c r="F33" s="10">
        <v>18</v>
      </c>
      <c r="G33" s="36" t="s">
        <v>15</v>
      </c>
      <c r="H33" s="1" t="s">
        <v>29</v>
      </c>
      <c r="I33" s="25">
        <v>4</v>
      </c>
      <c r="J33" s="1" t="s">
        <v>17</v>
      </c>
      <c r="K33" s="1">
        <v>6</v>
      </c>
      <c r="L33" s="1">
        <v>6</v>
      </c>
      <c r="M33" s="28">
        <v>6</v>
      </c>
      <c r="N33" s="31">
        <v>4</v>
      </c>
    </row>
    <row r="34" spans="1:14" x14ac:dyDescent="0.3">
      <c r="A34" s="52">
        <v>2026</v>
      </c>
      <c r="B34" s="1">
        <v>2</v>
      </c>
      <c r="C34" s="1">
        <v>520</v>
      </c>
      <c r="D34" s="17">
        <v>46036</v>
      </c>
      <c r="E34" s="2">
        <v>23.6</v>
      </c>
      <c r="F34" s="10">
        <v>27</v>
      </c>
      <c r="G34" s="36" t="s">
        <v>15</v>
      </c>
      <c r="H34" s="1" t="s">
        <v>29</v>
      </c>
      <c r="I34" s="25">
        <v>2</v>
      </c>
      <c r="J34" s="1" t="s">
        <v>17</v>
      </c>
      <c r="K34" s="1">
        <v>6</v>
      </c>
      <c r="L34" s="1">
        <v>7</v>
      </c>
      <c r="M34" s="28">
        <v>6.5</v>
      </c>
      <c r="N34" s="31">
        <v>2</v>
      </c>
    </row>
    <row r="35" spans="1:14" x14ac:dyDescent="0.3">
      <c r="A35" s="52">
        <v>2026</v>
      </c>
      <c r="B35" s="1">
        <v>2</v>
      </c>
      <c r="C35" s="1">
        <v>602</v>
      </c>
      <c r="D35" s="17">
        <v>46035</v>
      </c>
      <c r="E35" s="2">
        <v>36.200000000000003</v>
      </c>
      <c r="F35" s="10">
        <v>27</v>
      </c>
      <c r="G35" s="36" t="s">
        <v>15</v>
      </c>
      <c r="H35" s="1" t="s">
        <v>29</v>
      </c>
      <c r="I35" s="25">
        <v>4</v>
      </c>
      <c r="J35" s="1" t="s">
        <v>17</v>
      </c>
      <c r="K35" s="1">
        <v>7</v>
      </c>
      <c r="L35" s="1">
        <v>7</v>
      </c>
      <c r="M35" s="28">
        <v>7</v>
      </c>
      <c r="N35" s="31">
        <v>0</v>
      </c>
    </row>
    <row r="36" spans="1:14" x14ac:dyDescent="0.3">
      <c r="A36" s="52">
        <v>2026</v>
      </c>
      <c r="B36" s="1">
        <v>2</v>
      </c>
      <c r="C36" s="1">
        <v>606</v>
      </c>
      <c r="D36" s="17">
        <v>46035</v>
      </c>
      <c r="E36" s="2">
        <v>34.6</v>
      </c>
      <c r="F36" s="10">
        <v>11</v>
      </c>
      <c r="G36" s="36" t="s">
        <v>15</v>
      </c>
      <c r="H36" s="1" t="s">
        <v>29</v>
      </c>
      <c r="I36" s="25">
        <v>2</v>
      </c>
      <c r="J36" s="1" t="s">
        <v>17</v>
      </c>
      <c r="K36" s="1">
        <v>6</v>
      </c>
      <c r="L36" s="1">
        <v>8</v>
      </c>
      <c r="M36" s="28">
        <v>7</v>
      </c>
      <c r="N36" s="31">
        <v>1</v>
      </c>
    </row>
    <row r="37" spans="1:14" x14ac:dyDescent="0.3">
      <c r="A37" s="52">
        <v>2026</v>
      </c>
      <c r="B37" s="1">
        <v>2</v>
      </c>
      <c r="C37" s="1">
        <v>609</v>
      </c>
      <c r="D37" s="17">
        <v>46035</v>
      </c>
      <c r="E37" s="2">
        <v>21.6</v>
      </c>
      <c r="F37" s="10">
        <v>33</v>
      </c>
      <c r="G37" s="36" t="s">
        <v>15</v>
      </c>
      <c r="H37" s="1" t="s">
        <v>16</v>
      </c>
      <c r="I37" s="38"/>
      <c r="J37" s="1" t="s">
        <v>17</v>
      </c>
      <c r="K37" s="1"/>
      <c r="L37" s="1"/>
      <c r="M37" s="28"/>
      <c r="N37" s="31"/>
    </row>
    <row r="38" spans="1:14" x14ac:dyDescent="0.3">
      <c r="A38" s="52">
        <v>2026</v>
      </c>
      <c r="B38" s="1">
        <v>2</v>
      </c>
      <c r="C38" s="1">
        <v>610</v>
      </c>
      <c r="D38" s="17">
        <v>46035</v>
      </c>
      <c r="E38" s="2">
        <v>29.5</v>
      </c>
      <c r="F38" s="10">
        <v>24</v>
      </c>
      <c r="G38" s="36" t="s">
        <v>15</v>
      </c>
      <c r="H38" s="1" t="s">
        <v>29</v>
      </c>
      <c r="I38" s="38">
        <v>1</v>
      </c>
      <c r="J38" s="1" t="s">
        <v>17</v>
      </c>
      <c r="K38" s="1">
        <v>6</v>
      </c>
      <c r="L38" s="1">
        <v>6</v>
      </c>
      <c r="M38" s="28">
        <v>6</v>
      </c>
      <c r="N38" s="31">
        <v>0</v>
      </c>
    </row>
    <row r="39" spans="1:14" x14ac:dyDescent="0.3">
      <c r="A39" s="52">
        <v>2026</v>
      </c>
      <c r="B39" s="1">
        <v>2</v>
      </c>
      <c r="C39" s="1">
        <v>703</v>
      </c>
      <c r="D39" s="17">
        <v>46036</v>
      </c>
      <c r="E39" s="2">
        <v>32.1</v>
      </c>
      <c r="F39" s="10">
        <v>42</v>
      </c>
      <c r="G39" s="36" t="s">
        <v>15</v>
      </c>
      <c r="H39" s="1" t="s">
        <v>16</v>
      </c>
      <c r="I39" s="25"/>
      <c r="J39" s="1" t="s">
        <v>17</v>
      </c>
      <c r="K39" s="1"/>
      <c r="L39" s="1"/>
      <c r="M39" s="28"/>
      <c r="N39" s="31"/>
    </row>
    <row r="40" spans="1:14" x14ac:dyDescent="0.3">
      <c r="A40" s="52">
        <v>2026</v>
      </c>
      <c r="B40" s="1">
        <v>2</v>
      </c>
      <c r="C40" s="1">
        <v>704</v>
      </c>
      <c r="D40" s="17">
        <v>46036</v>
      </c>
      <c r="E40" s="2">
        <v>32.1</v>
      </c>
      <c r="F40" s="10">
        <v>31</v>
      </c>
      <c r="G40" s="36" t="s">
        <v>15</v>
      </c>
      <c r="H40" s="1" t="s">
        <v>16</v>
      </c>
      <c r="I40" s="25"/>
      <c r="J40" s="1" t="s">
        <v>17</v>
      </c>
      <c r="K40" s="1"/>
      <c r="L40" s="1"/>
      <c r="M40" s="28"/>
      <c r="N40" s="31"/>
    </row>
    <row r="41" spans="1:14" x14ac:dyDescent="0.3">
      <c r="A41" s="52">
        <v>2026</v>
      </c>
      <c r="B41" s="1">
        <v>2</v>
      </c>
      <c r="C41" s="1">
        <v>705</v>
      </c>
      <c r="D41" s="17">
        <v>46036</v>
      </c>
      <c r="E41" s="2">
        <v>20</v>
      </c>
      <c r="F41" s="10">
        <v>49</v>
      </c>
      <c r="G41" s="36" t="s">
        <v>15</v>
      </c>
      <c r="H41" s="1" t="s">
        <v>16</v>
      </c>
      <c r="I41" s="25"/>
      <c r="J41" s="1" t="s">
        <v>17</v>
      </c>
      <c r="K41" s="1"/>
      <c r="L41" s="1"/>
      <c r="M41" s="28"/>
      <c r="N41" s="31"/>
    </row>
    <row r="42" spans="1:14" x14ac:dyDescent="0.3">
      <c r="A42" s="52">
        <v>2026</v>
      </c>
      <c r="B42" s="1">
        <v>2</v>
      </c>
      <c r="C42" s="1">
        <v>706</v>
      </c>
      <c r="D42" s="17">
        <v>46036</v>
      </c>
      <c r="E42" s="2">
        <v>32.299999999999997</v>
      </c>
      <c r="F42" s="10">
        <v>36</v>
      </c>
      <c r="G42" s="36" t="s">
        <v>15</v>
      </c>
      <c r="H42" s="1" t="s">
        <v>16</v>
      </c>
      <c r="I42" s="25"/>
      <c r="J42" s="1" t="s">
        <v>17</v>
      </c>
      <c r="K42" s="1"/>
      <c r="L42" s="1"/>
      <c r="M42" s="28"/>
      <c r="N42" s="31"/>
    </row>
    <row r="43" spans="1:14" x14ac:dyDescent="0.3">
      <c r="A43" s="52">
        <v>2026</v>
      </c>
      <c r="B43" s="1">
        <v>2</v>
      </c>
      <c r="C43" s="1">
        <v>707</v>
      </c>
      <c r="D43" s="17">
        <v>46036</v>
      </c>
      <c r="E43" s="2">
        <v>27.3</v>
      </c>
      <c r="F43" s="10">
        <v>38</v>
      </c>
      <c r="G43" s="36" t="s">
        <v>15</v>
      </c>
      <c r="H43" s="1" t="s">
        <v>16</v>
      </c>
      <c r="I43" s="25"/>
      <c r="J43" s="1" t="s">
        <v>17</v>
      </c>
      <c r="K43" s="1"/>
      <c r="L43" s="1"/>
      <c r="M43" s="28"/>
      <c r="N43" s="31"/>
    </row>
    <row r="44" spans="1:14" x14ac:dyDescent="0.3">
      <c r="A44" s="52">
        <v>2026</v>
      </c>
      <c r="B44" s="1">
        <v>2</v>
      </c>
      <c r="C44" s="1">
        <v>711</v>
      </c>
      <c r="D44" s="17">
        <v>46036</v>
      </c>
      <c r="E44" s="2">
        <v>27.6</v>
      </c>
      <c r="F44" s="10">
        <v>36</v>
      </c>
      <c r="G44" s="36" t="s">
        <v>15</v>
      </c>
      <c r="H44" s="1" t="s">
        <v>16</v>
      </c>
      <c r="I44" s="25"/>
      <c r="J44" s="1" t="s">
        <v>17</v>
      </c>
      <c r="K44" s="1"/>
      <c r="L44" s="1"/>
      <c r="M44" s="28"/>
      <c r="N44" s="31"/>
    </row>
    <row r="45" spans="1:14" x14ac:dyDescent="0.3">
      <c r="A45" s="52">
        <v>2026</v>
      </c>
      <c r="B45" s="1">
        <v>2</v>
      </c>
      <c r="C45" s="1">
        <v>716</v>
      </c>
      <c r="D45" s="17">
        <v>46036</v>
      </c>
      <c r="E45" s="2">
        <v>30.5</v>
      </c>
      <c r="F45" s="10">
        <v>40</v>
      </c>
      <c r="G45" s="36" t="s">
        <v>15</v>
      </c>
      <c r="H45" s="1" t="s">
        <v>16</v>
      </c>
      <c r="I45" s="25"/>
      <c r="J45" s="1" t="s">
        <v>17</v>
      </c>
      <c r="K45" s="1"/>
      <c r="L45" s="1"/>
      <c r="M45" s="28"/>
      <c r="N45" s="31"/>
    </row>
    <row r="46" spans="1:14" x14ac:dyDescent="0.3">
      <c r="A46" s="52">
        <v>2026</v>
      </c>
      <c r="B46" s="1">
        <v>2</v>
      </c>
      <c r="C46" s="1">
        <v>723</v>
      </c>
      <c r="D46" s="17">
        <v>46036</v>
      </c>
      <c r="E46" s="2">
        <v>25.8</v>
      </c>
      <c r="F46" s="10">
        <v>39</v>
      </c>
      <c r="G46" s="36" t="s">
        <v>15</v>
      </c>
      <c r="H46" s="1" t="s">
        <v>16</v>
      </c>
      <c r="I46" s="25"/>
      <c r="J46" s="1" t="s">
        <v>17</v>
      </c>
      <c r="K46" s="1"/>
      <c r="L46" s="1"/>
      <c r="M46" s="28"/>
      <c r="N46" s="31"/>
    </row>
    <row r="47" spans="1:14" x14ac:dyDescent="0.3">
      <c r="A47" s="52">
        <v>2026</v>
      </c>
      <c r="B47" s="1">
        <v>2</v>
      </c>
      <c r="C47" s="1">
        <v>801</v>
      </c>
      <c r="D47" s="17">
        <v>46036</v>
      </c>
      <c r="E47" s="2">
        <v>25</v>
      </c>
      <c r="F47" s="10">
        <v>33</v>
      </c>
      <c r="G47" s="36" t="s">
        <v>15</v>
      </c>
      <c r="H47" s="1" t="s">
        <v>29</v>
      </c>
      <c r="I47" s="25">
        <v>2</v>
      </c>
      <c r="J47" s="1" t="s">
        <v>17</v>
      </c>
      <c r="K47" s="1">
        <v>6</v>
      </c>
      <c r="L47" s="1">
        <v>7</v>
      </c>
      <c r="M47" s="28">
        <v>6.5</v>
      </c>
      <c r="N47" s="31">
        <v>2</v>
      </c>
    </row>
    <row r="48" spans="1:14" x14ac:dyDescent="0.3">
      <c r="A48" s="52">
        <v>2026</v>
      </c>
      <c r="B48" s="1">
        <v>2</v>
      </c>
      <c r="C48" s="1">
        <v>804</v>
      </c>
      <c r="D48" s="17">
        <v>46036</v>
      </c>
      <c r="E48" s="2">
        <v>18.100000000000001</v>
      </c>
      <c r="F48" s="10">
        <v>42</v>
      </c>
      <c r="G48" s="36" t="s">
        <v>15</v>
      </c>
      <c r="H48" s="1" t="s">
        <v>29</v>
      </c>
      <c r="I48" s="25">
        <v>2</v>
      </c>
      <c r="J48" s="1" t="s">
        <v>17</v>
      </c>
      <c r="K48" s="1">
        <v>6</v>
      </c>
      <c r="L48" s="1">
        <v>6</v>
      </c>
      <c r="M48" s="28">
        <v>6</v>
      </c>
      <c r="N48" s="31">
        <v>2</v>
      </c>
    </row>
    <row r="49" spans="1:14" x14ac:dyDescent="0.3">
      <c r="A49" s="74">
        <v>2026</v>
      </c>
      <c r="B49" s="44">
        <v>2</v>
      </c>
      <c r="C49" s="45">
        <v>809</v>
      </c>
      <c r="D49" s="19">
        <v>46034</v>
      </c>
      <c r="E49" s="4">
        <v>21.7</v>
      </c>
      <c r="F49" s="11">
        <v>41</v>
      </c>
      <c r="G49" s="37" t="s">
        <v>15</v>
      </c>
      <c r="H49" s="3" t="s">
        <v>29</v>
      </c>
      <c r="I49" s="26">
        <v>2</v>
      </c>
      <c r="J49" s="3" t="s">
        <v>17</v>
      </c>
      <c r="K49" s="3">
        <v>7</v>
      </c>
      <c r="L49" s="3">
        <v>7</v>
      </c>
      <c r="M49" s="29">
        <v>7</v>
      </c>
      <c r="N49" s="32">
        <v>0</v>
      </c>
    </row>
    <row r="50" spans="1:14" x14ac:dyDescent="0.3">
      <c r="A50" s="74">
        <v>2026</v>
      </c>
      <c r="B50" s="44">
        <v>2</v>
      </c>
      <c r="C50" s="45">
        <v>812</v>
      </c>
      <c r="D50" s="19">
        <v>46034</v>
      </c>
      <c r="E50" s="4">
        <v>26.5</v>
      </c>
      <c r="F50" s="11">
        <v>36</v>
      </c>
      <c r="G50" s="37" t="s">
        <v>15</v>
      </c>
      <c r="H50" s="3" t="s">
        <v>16</v>
      </c>
      <c r="I50" s="26"/>
      <c r="J50" s="3" t="s">
        <v>17</v>
      </c>
      <c r="K50" s="3"/>
      <c r="L50" s="3"/>
      <c r="M50" s="29"/>
      <c r="N50" s="32"/>
    </row>
    <row r="51" spans="1:14" x14ac:dyDescent="0.3">
      <c r="A51" s="52">
        <v>2026</v>
      </c>
      <c r="B51" s="1">
        <v>2</v>
      </c>
      <c r="C51" s="1">
        <v>815</v>
      </c>
      <c r="D51" s="17">
        <v>46034</v>
      </c>
      <c r="E51" s="2">
        <v>22.3</v>
      </c>
      <c r="F51" s="10">
        <v>35</v>
      </c>
      <c r="G51" s="36" t="s">
        <v>15</v>
      </c>
      <c r="H51" s="1" t="s">
        <v>16</v>
      </c>
      <c r="I51" s="25"/>
      <c r="J51" s="1" t="s">
        <v>17</v>
      </c>
      <c r="K51" s="1"/>
      <c r="L51" s="1"/>
      <c r="M51" s="28"/>
      <c r="N51" s="31"/>
    </row>
    <row r="52" spans="1:14" x14ac:dyDescent="0.3">
      <c r="A52" s="52">
        <v>2026</v>
      </c>
      <c r="B52" s="1">
        <v>2</v>
      </c>
      <c r="C52" s="1">
        <v>901</v>
      </c>
      <c r="D52" s="17">
        <v>46034</v>
      </c>
      <c r="E52" s="2">
        <v>14.4</v>
      </c>
      <c r="F52" s="10">
        <v>52</v>
      </c>
      <c r="G52" s="36" t="s">
        <v>15</v>
      </c>
      <c r="H52" s="1" t="s">
        <v>16</v>
      </c>
      <c r="I52" s="10"/>
      <c r="J52" s="1" t="s">
        <v>17</v>
      </c>
      <c r="K52" s="1"/>
      <c r="L52" s="1"/>
      <c r="M52" s="28"/>
      <c r="N52" s="31"/>
    </row>
    <row r="53" spans="1:14" x14ac:dyDescent="0.3">
      <c r="A53" s="52">
        <v>2026</v>
      </c>
      <c r="B53" s="1">
        <v>2</v>
      </c>
      <c r="C53" s="1">
        <v>902</v>
      </c>
      <c r="D53" s="17">
        <v>46034</v>
      </c>
      <c r="E53" s="2">
        <v>7.2</v>
      </c>
      <c r="F53" s="10">
        <v>110</v>
      </c>
      <c r="G53" s="36" t="s">
        <v>15</v>
      </c>
      <c r="H53" s="1" t="s">
        <v>16</v>
      </c>
      <c r="I53" s="10"/>
      <c r="J53" s="1" t="s">
        <v>17</v>
      </c>
      <c r="K53" s="1"/>
      <c r="L53" s="1"/>
      <c r="M53" s="28"/>
      <c r="N53" s="31"/>
    </row>
    <row r="54" spans="1:14" x14ac:dyDescent="0.3">
      <c r="A54" s="52">
        <v>2026</v>
      </c>
      <c r="B54" s="1">
        <v>2</v>
      </c>
      <c r="C54" s="1">
        <v>906</v>
      </c>
      <c r="D54" s="17">
        <v>46036</v>
      </c>
      <c r="E54" s="2">
        <v>10.8</v>
      </c>
      <c r="F54" s="10">
        <v>60</v>
      </c>
      <c r="G54" s="36" t="s">
        <v>15</v>
      </c>
      <c r="H54" s="1" t="s">
        <v>16</v>
      </c>
      <c r="I54" s="10"/>
      <c r="J54" s="1" t="s">
        <v>17</v>
      </c>
      <c r="K54" s="1"/>
      <c r="L54" s="1"/>
      <c r="M54" s="28"/>
      <c r="N54" s="31"/>
    </row>
    <row r="55" spans="1:14" x14ac:dyDescent="0.3">
      <c r="A55" s="52">
        <v>2026</v>
      </c>
      <c r="B55" s="1">
        <v>2</v>
      </c>
      <c r="C55" s="1">
        <v>910</v>
      </c>
      <c r="D55" s="17">
        <v>46036</v>
      </c>
      <c r="E55" s="2">
        <v>9.1999999999999993</v>
      </c>
      <c r="F55" s="10">
        <v>60</v>
      </c>
      <c r="G55" s="36" t="s">
        <v>15</v>
      </c>
      <c r="H55" s="1" t="s">
        <v>16</v>
      </c>
      <c r="I55" s="10"/>
      <c r="J55" s="1" t="s">
        <v>17</v>
      </c>
      <c r="K55" s="1"/>
      <c r="L55" s="1"/>
      <c r="M55" s="28"/>
      <c r="N55" s="31"/>
    </row>
    <row r="56" spans="1:14" x14ac:dyDescent="0.3">
      <c r="A56" s="52">
        <v>2026</v>
      </c>
      <c r="B56" s="1">
        <v>2</v>
      </c>
      <c r="C56" s="1">
        <v>912</v>
      </c>
      <c r="D56" s="17">
        <v>46034</v>
      </c>
      <c r="E56" s="2">
        <v>3.1</v>
      </c>
      <c r="F56" s="10">
        <v>115</v>
      </c>
      <c r="G56" s="36" t="s">
        <v>15</v>
      </c>
      <c r="H56" s="1" t="s">
        <v>16</v>
      </c>
      <c r="I56" s="10"/>
      <c r="J56" s="1" t="s">
        <v>17</v>
      </c>
      <c r="K56" s="1"/>
      <c r="L56" s="1"/>
      <c r="M56" s="28"/>
      <c r="N56" s="31"/>
    </row>
    <row r="57" spans="1:14" x14ac:dyDescent="0.3">
      <c r="A57" s="52">
        <v>2026</v>
      </c>
      <c r="B57" s="1">
        <v>2</v>
      </c>
      <c r="C57" s="1">
        <v>914</v>
      </c>
      <c r="D57" s="17">
        <v>46034</v>
      </c>
      <c r="E57" s="2">
        <v>6.4</v>
      </c>
      <c r="F57" s="10">
        <v>111</v>
      </c>
      <c r="G57" s="36" t="s">
        <v>15</v>
      </c>
      <c r="H57" s="1" t="s">
        <v>16</v>
      </c>
      <c r="I57" s="10"/>
      <c r="J57" s="1" t="s">
        <v>17</v>
      </c>
      <c r="K57" s="1"/>
      <c r="L57" s="1"/>
      <c r="M57" s="28"/>
      <c r="N57" s="31"/>
    </row>
    <row r="58" spans="1:14" x14ac:dyDescent="0.3">
      <c r="A58" s="52">
        <v>2026</v>
      </c>
      <c r="B58" s="1">
        <v>2</v>
      </c>
      <c r="C58" s="1">
        <v>915</v>
      </c>
      <c r="D58" s="17">
        <v>46034</v>
      </c>
      <c r="E58" s="2">
        <v>5.8</v>
      </c>
      <c r="F58" s="10">
        <v>105</v>
      </c>
      <c r="G58" s="36" t="s">
        <v>15</v>
      </c>
      <c r="H58" s="1" t="s">
        <v>16</v>
      </c>
      <c r="I58" s="10"/>
      <c r="J58" s="1" t="s">
        <v>17</v>
      </c>
      <c r="K58" s="1"/>
      <c r="L58" s="1"/>
      <c r="M58" s="28"/>
      <c r="N58" s="31"/>
    </row>
    <row r="59" spans="1:14" x14ac:dyDescent="0.3">
      <c r="A59" s="52">
        <v>2026</v>
      </c>
      <c r="B59" s="1">
        <v>2</v>
      </c>
      <c r="C59" s="1">
        <v>918</v>
      </c>
      <c r="D59" s="17">
        <v>46034</v>
      </c>
      <c r="E59" s="2">
        <v>4.5999999999999996</v>
      </c>
      <c r="F59" s="10">
        <v>145</v>
      </c>
      <c r="G59" s="36" t="s">
        <v>15</v>
      </c>
      <c r="H59" s="1" t="s">
        <v>16</v>
      </c>
      <c r="I59" s="10"/>
      <c r="J59" s="1" t="s">
        <v>17</v>
      </c>
      <c r="K59" s="1"/>
      <c r="L59" s="1"/>
      <c r="M59" s="28"/>
      <c r="N59" s="31"/>
    </row>
    <row r="60" spans="1:14" ht="15" thickBot="1" x14ac:dyDescent="0.35">
      <c r="A60" s="75">
        <v>2026</v>
      </c>
      <c r="B60" s="67">
        <v>2</v>
      </c>
      <c r="C60" s="67">
        <v>919</v>
      </c>
      <c r="D60" s="68">
        <v>46036</v>
      </c>
      <c r="E60" s="69">
        <v>14.9</v>
      </c>
      <c r="F60" s="70">
        <v>47</v>
      </c>
      <c r="G60" s="36" t="s">
        <v>15</v>
      </c>
      <c r="H60" s="67" t="s">
        <v>16</v>
      </c>
      <c r="I60" s="70"/>
      <c r="J60" s="67" t="s">
        <v>17</v>
      </c>
      <c r="K60" s="67"/>
      <c r="L60" s="67"/>
      <c r="M60" s="72"/>
      <c r="N60" s="73"/>
    </row>
    <row r="61" spans="1:14" x14ac:dyDescent="0.3">
      <c r="A61" s="79" t="s">
        <v>31</v>
      </c>
      <c r="B61" s="80"/>
      <c r="C61" s="80"/>
      <c r="D61" s="80"/>
      <c r="E61" s="16"/>
      <c r="F61" s="35"/>
      <c r="G61" s="16"/>
      <c r="H61" s="5"/>
      <c r="I61" s="35"/>
      <c r="J61" s="6"/>
      <c r="K61" s="6"/>
      <c r="L61" s="6"/>
      <c r="M61" s="42"/>
      <c r="N61" s="6"/>
    </row>
    <row r="62" spans="1:14" x14ac:dyDescent="0.3">
      <c r="A62" s="79" t="s">
        <v>32</v>
      </c>
      <c r="B62" s="81"/>
      <c r="C62" s="81"/>
      <c r="D62" s="81"/>
      <c r="E62" s="27"/>
      <c r="F62" s="35"/>
      <c r="G62" s="27"/>
      <c r="H62" s="27"/>
      <c r="I62" s="35"/>
      <c r="J62" s="27"/>
      <c r="K62" s="27"/>
      <c r="L62" s="27"/>
      <c r="M62" s="43"/>
      <c r="N62" s="27"/>
    </row>
    <row r="63" spans="1:14" x14ac:dyDescent="0.3">
      <c r="A63" s="79" t="s">
        <v>33</v>
      </c>
      <c r="B63" s="81"/>
      <c r="C63" s="81"/>
      <c r="D63" s="81"/>
      <c r="E63" s="35"/>
      <c r="F63" s="35"/>
      <c r="G63" s="35"/>
      <c r="H63" s="35"/>
      <c r="I63" s="35"/>
      <c r="J63" s="56"/>
      <c r="K63" s="35"/>
      <c r="L63" s="35"/>
      <c r="M63" s="59"/>
      <c r="N63" s="35"/>
    </row>
    <row r="64" spans="1:14" x14ac:dyDescent="0.3">
      <c r="A64" s="82" t="s">
        <v>34</v>
      </c>
      <c r="B64" s="83"/>
      <c r="C64" s="83"/>
      <c r="D64" s="81"/>
      <c r="E64" s="35"/>
      <c r="F64" s="35"/>
      <c r="G64" s="35"/>
      <c r="H64" s="35"/>
      <c r="I64" s="35"/>
      <c r="J64" s="56"/>
      <c r="K64" s="35"/>
      <c r="L64" s="35"/>
      <c r="M64" s="59"/>
      <c r="N64" s="35"/>
    </row>
  </sheetData>
  <dataValidations count="4">
    <dataValidation type="list" allowBlank="1" showInputMessage="1" showErrorMessage="1" sqref="J2:J60" xr:uid="{C810C51D-9CD6-40D1-BD57-1F9D1814BE05}">
      <formula1>"Preliminary, Completed"</formula1>
    </dataValidation>
    <dataValidation type="list" allowBlank="1" showInputMessage="1" showErrorMessage="1" sqref="H2:H60" xr:uid="{705028AB-B0BB-4189-8520-4D477E463F9C}">
      <formula1>"No Smelt Catch, Longfin Smelt "</formula1>
    </dataValidation>
    <dataValidation type="list" allowBlank="1" showInputMessage="1" showErrorMessage="1" sqref="G2:G15 G24:G60" xr:uid="{28604F16-3E9F-4067-B13E-54B0BA268DC7}">
      <formula1>"Not Processed, Processed"</formula1>
    </dataValidation>
    <dataValidation type="list" allowBlank="1" showInputMessage="1" showErrorMessage="1" sqref="G16:G23" xr:uid="{3C909658-4500-442F-9BB2-F45FC260848E}">
      <formula1>"Not Processed, Processed, Not Sampled"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442D-E2E3-4425-B20C-C5998A1250BA}">
  <dimension ref="A1:N64"/>
  <sheetViews>
    <sheetView topLeftCell="A45" workbookViewId="0">
      <selection activeCell="H66" sqref="H66"/>
    </sheetView>
  </sheetViews>
  <sheetFormatPr defaultRowHeight="14.4" x14ac:dyDescent="0.3"/>
  <cols>
    <col min="7" max="7" width="13.44140625" bestFit="1" customWidth="1"/>
    <col min="8" max="8" width="16.33203125" customWidth="1"/>
    <col min="9" max="9" width="7.88671875" customWidth="1"/>
    <col min="10" max="10" width="11.44140625" customWidth="1"/>
    <col min="14" max="14" width="13.33203125" customWidth="1"/>
  </cols>
  <sheetData>
    <row r="1" spans="1:14" ht="27" thickBot="1" x14ac:dyDescent="0.35">
      <c r="A1" s="58" t="s">
        <v>0</v>
      </c>
      <c r="B1" s="46" t="s">
        <v>1</v>
      </c>
      <c r="C1" s="46" t="s">
        <v>2</v>
      </c>
      <c r="D1" s="47" t="s">
        <v>11</v>
      </c>
      <c r="E1" s="46" t="s">
        <v>13</v>
      </c>
      <c r="F1" s="46" t="s">
        <v>10</v>
      </c>
      <c r="G1" s="48" t="s">
        <v>3</v>
      </c>
      <c r="H1" s="46" t="s">
        <v>4</v>
      </c>
      <c r="I1" s="46" t="s">
        <v>5</v>
      </c>
      <c r="J1" s="46" t="s">
        <v>9</v>
      </c>
      <c r="K1" s="46" t="s">
        <v>6</v>
      </c>
      <c r="L1" s="46" t="s">
        <v>7</v>
      </c>
      <c r="M1" s="49" t="s">
        <v>8</v>
      </c>
      <c r="N1" s="50" t="s">
        <v>12</v>
      </c>
    </row>
    <row r="2" spans="1:14" x14ac:dyDescent="0.3">
      <c r="A2" s="51">
        <v>2026</v>
      </c>
      <c r="B2" s="1">
        <v>3</v>
      </c>
      <c r="C2" s="9">
        <v>306</v>
      </c>
      <c r="D2" s="20"/>
      <c r="E2" s="9"/>
      <c r="F2" s="12"/>
      <c r="G2" s="36" t="s">
        <v>27</v>
      </c>
      <c r="H2" s="8"/>
      <c r="I2" s="23"/>
      <c r="J2" s="8"/>
      <c r="K2" s="9"/>
      <c r="L2" s="9"/>
      <c r="M2" s="39"/>
      <c r="N2" s="33"/>
    </row>
    <row r="3" spans="1:14" x14ac:dyDescent="0.3">
      <c r="A3" s="52">
        <v>2026</v>
      </c>
      <c r="B3" s="1">
        <v>3</v>
      </c>
      <c r="C3" s="8">
        <v>308</v>
      </c>
      <c r="D3" s="18"/>
      <c r="E3" s="8"/>
      <c r="F3" s="13"/>
      <c r="G3" s="36" t="s">
        <v>27</v>
      </c>
      <c r="H3" s="8"/>
      <c r="I3" s="24"/>
      <c r="J3" s="8"/>
      <c r="K3" s="8"/>
      <c r="L3" s="8"/>
      <c r="M3" s="40"/>
      <c r="N3" s="30"/>
    </row>
    <row r="4" spans="1:14" x14ac:dyDescent="0.3">
      <c r="A4" s="52">
        <v>2026</v>
      </c>
      <c r="B4" s="1">
        <v>3</v>
      </c>
      <c r="C4" s="8">
        <v>311</v>
      </c>
      <c r="D4" s="18">
        <v>46049</v>
      </c>
      <c r="E4" s="8">
        <v>7.4</v>
      </c>
      <c r="F4" s="13">
        <v>78</v>
      </c>
      <c r="G4" s="36" t="s">
        <v>15</v>
      </c>
      <c r="H4" s="8" t="s">
        <v>16</v>
      </c>
      <c r="I4" s="24"/>
      <c r="J4" s="8" t="s">
        <v>17</v>
      </c>
      <c r="K4" s="8"/>
      <c r="L4" s="8"/>
      <c r="M4" s="40"/>
      <c r="N4" s="30"/>
    </row>
    <row r="5" spans="1:14" x14ac:dyDescent="0.3">
      <c r="A5" s="52">
        <v>2026</v>
      </c>
      <c r="B5" s="1">
        <v>3</v>
      </c>
      <c r="C5" s="8">
        <v>315</v>
      </c>
      <c r="D5" s="20"/>
      <c r="E5" s="9"/>
      <c r="F5" s="12"/>
      <c r="G5" s="36" t="s">
        <v>27</v>
      </c>
      <c r="H5" s="8" t="s">
        <v>35</v>
      </c>
      <c r="I5" s="23"/>
      <c r="J5" s="8" t="s">
        <v>36</v>
      </c>
      <c r="K5" s="9"/>
      <c r="L5" s="9"/>
      <c r="M5" s="41"/>
      <c r="N5" s="34"/>
    </row>
    <row r="6" spans="1:14" x14ac:dyDescent="0.3">
      <c r="A6" s="52">
        <v>2026</v>
      </c>
      <c r="B6" s="1">
        <v>3</v>
      </c>
      <c r="C6" s="8">
        <v>322</v>
      </c>
      <c r="D6" s="18"/>
      <c r="E6" s="8"/>
      <c r="F6" s="13"/>
      <c r="G6" s="36" t="s">
        <v>27</v>
      </c>
      <c r="H6" s="8" t="s">
        <v>35</v>
      </c>
      <c r="I6" s="24"/>
      <c r="J6" s="8" t="s">
        <v>36</v>
      </c>
      <c r="K6" s="8"/>
      <c r="L6" s="8"/>
      <c r="M6" s="40"/>
      <c r="N6" s="30"/>
    </row>
    <row r="7" spans="1:14" x14ac:dyDescent="0.3">
      <c r="A7" s="52">
        <v>2026</v>
      </c>
      <c r="B7" s="1">
        <v>3</v>
      </c>
      <c r="C7" s="8">
        <v>323</v>
      </c>
      <c r="D7" s="18">
        <v>46048</v>
      </c>
      <c r="E7" s="8"/>
      <c r="F7" s="13">
        <v>32</v>
      </c>
      <c r="G7" s="36" t="s">
        <v>15</v>
      </c>
      <c r="H7" s="8" t="s">
        <v>29</v>
      </c>
      <c r="I7" s="24">
        <v>2</v>
      </c>
      <c r="J7" s="8" t="s">
        <v>17</v>
      </c>
      <c r="K7" s="8">
        <v>7</v>
      </c>
      <c r="L7" s="8">
        <v>7</v>
      </c>
      <c r="M7" s="40">
        <v>7</v>
      </c>
      <c r="N7" s="30">
        <v>2</v>
      </c>
    </row>
    <row r="8" spans="1:14" x14ac:dyDescent="0.3">
      <c r="A8" s="52">
        <v>2026</v>
      </c>
      <c r="B8" s="1">
        <v>3</v>
      </c>
      <c r="C8" s="8">
        <v>327</v>
      </c>
      <c r="D8" s="18"/>
      <c r="E8" s="8"/>
      <c r="F8" s="13"/>
      <c r="G8" s="36" t="s">
        <v>27</v>
      </c>
      <c r="H8" s="8" t="s">
        <v>35</v>
      </c>
      <c r="I8" s="24"/>
      <c r="J8" s="8" t="s">
        <v>36</v>
      </c>
      <c r="K8" s="8"/>
      <c r="L8" s="8"/>
      <c r="M8" s="40"/>
      <c r="N8" s="30"/>
    </row>
    <row r="9" spans="1:14" x14ac:dyDescent="0.3">
      <c r="A9" s="52">
        <v>2026</v>
      </c>
      <c r="B9" s="1">
        <v>3</v>
      </c>
      <c r="C9" s="8">
        <v>328</v>
      </c>
      <c r="D9" s="18"/>
      <c r="E9" s="8"/>
      <c r="F9" s="13"/>
      <c r="G9" s="36" t="s">
        <v>27</v>
      </c>
      <c r="H9" s="8" t="s">
        <v>35</v>
      </c>
      <c r="I9" s="24"/>
      <c r="J9" s="8" t="s">
        <v>36</v>
      </c>
      <c r="K9" s="8"/>
      <c r="L9" s="8"/>
      <c r="M9" s="40"/>
      <c r="N9" s="30"/>
    </row>
    <row r="10" spans="1:14" x14ac:dyDescent="0.3">
      <c r="A10" s="52">
        <v>2026</v>
      </c>
      <c r="B10" s="1">
        <v>3</v>
      </c>
      <c r="C10" s="8">
        <v>329</v>
      </c>
      <c r="D10" s="18"/>
      <c r="E10" s="8"/>
      <c r="F10" s="13"/>
      <c r="G10" s="36" t="s">
        <v>27</v>
      </c>
      <c r="H10" s="8" t="s">
        <v>35</v>
      </c>
      <c r="I10" s="24"/>
      <c r="J10" s="8" t="s">
        <v>36</v>
      </c>
      <c r="K10" s="8"/>
      <c r="L10" s="8"/>
      <c r="M10" s="40"/>
      <c r="N10" s="30"/>
    </row>
    <row r="11" spans="1:14" x14ac:dyDescent="0.3">
      <c r="A11" s="52">
        <v>2026</v>
      </c>
      <c r="B11" s="1">
        <v>3</v>
      </c>
      <c r="C11" s="8">
        <v>330</v>
      </c>
      <c r="D11" s="18"/>
      <c r="E11" s="8"/>
      <c r="F11" s="13"/>
      <c r="G11" s="36" t="s">
        <v>27</v>
      </c>
      <c r="H11" s="8" t="s">
        <v>35</v>
      </c>
      <c r="I11" s="24"/>
      <c r="J11" s="8" t="s">
        <v>36</v>
      </c>
      <c r="K11" s="8"/>
      <c r="L11" s="8"/>
      <c r="M11" s="40"/>
      <c r="N11" s="30"/>
    </row>
    <row r="12" spans="1:14" x14ac:dyDescent="0.3">
      <c r="A12" s="52">
        <v>2026</v>
      </c>
      <c r="B12" s="1">
        <v>3</v>
      </c>
      <c r="C12" s="8">
        <v>335</v>
      </c>
      <c r="D12" s="20"/>
      <c r="E12" s="9"/>
      <c r="F12" s="12"/>
      <c r="G12" s="36" t="s">
        <v>27</v>
      </c>
      <c r="H12" s="9" t="s">
        <v>35</v>
      </c>
      <c r="I12" s="23"/>
      <c r="J12" s="9" t="s">
        <v>36</v>
      </c>
      <c r="K12" s="9"/>
      <c r="L12" s="9"/>
      <c r="M12" s="41"/>
      <c r="N12" s="34"/>
    </row>
    <row r="13" spans="1:14" x14ac:dyDescent="0.3">
      <c r="A13" s="52">
        <v>2026</v>
      </c>
      <c r="B13" s="1">
        <v>3</v>
      </c>
      <c r="C13" s="8">
        <v>336</v>
      </c>
      <c r="D13" s="18"/>
      <c r="E13" s="8"/>
      <c r="F13" s="13"/>
      <c r="G13" s="36" t="s">
        <v>27</v>
      </c>
      <c r="H13" s="8" t="s">
        <v>35</v>
      </c>
      <c r="I13" s="24"/>
      <c r="J13" s="8" t="s">
        <v>36</v>
      </c>
      <c r="K13" s="8"/>
      <c r="L13" s="8"/>
      <c r="M13" s="40"/>
      <c r="N13" s="30"/>
    </row>
    <row r="14" spans="1:14" x14ac:dyDescent="0.3">
      <c r="A14" s="52">
        <v>2026</v>
      </c>
      <c r="B14" s="1">
        <v>3</v>
      </c>
      <c r="C14" s="8">
        <v>338</v>
      </c>
      <c r="D14" s="18"/>
      <c r="E14" s="8"/>
      <c r="F14" s="13"/>
      <c r="G14" s="36" t="s">
        <v>27</v>
      </c>
      <c r="H14" s="8" t="s">
        <v>35</v>
      </c>
      <c r="I14" s="24"/>
      <c r="J14" s="8" t="s">
        <v>36</v>
      </c>
      <c r="K14" s="8"/>
      <c r="L14" s="8"/>
      <c r="M14" s="40"/>
      <c r="N14" s="30"/>
    </row>
    <row r="15" spans="1:14" x14ac:dyDescent="0.3">
      <c r="A15" s="52">
        <v>2026</v>
      </c>
      <c r="B15" s="1">
        <v>3</v>
      </c>
      <c r="C15" s="1">
        <v>340</v>
      </c>
      <c r="D15" s="17">
        <v>46048</v>
      </c>
      <c r="E15" s="8"/>
      <c r="F15" s="13">
        <v>31</v>
      </c>
      <c r="G15" s="36" t="s">
        <v>15</v>
      </c>
      <c r="H15" s="8" t="s">
        <v>29</v>
      </c>
      <c r="I15" s="24">
        <v>10</v>
      </c>
      <c r="J15" s="8" t="s">
        <v>17</v>
      </c>
      <c r="K15" s="8">
        <v>7</v>
      </c>
      <c r="L15" s="8">
        <v>8</v>
      </c>
      <c r="M15" s="40">
        <v>7.5</v>
      </c>
      <c r="N15" s="30">
        <v>8</v>
      </c>
    </row>
    <row r="16" spans="1:14" x14ac:dyDescent="0.3">
      <c r="A16" s="52">
        <v>2026</v>
      </c>
      <c r="B16" s="1">
        <v>3</v>
      </c>
      <c r="C16" s="1">
        <v>342</v>
      </c>
      <c r="D16" s="17"/>
      <c r="E16" s="2"/>
      <c r="F16" s="10"/>
      <c r="G16" s="36" t="s">
        <v>27</v>
      </c>
      <c r="H16" s="1" t="s">
        <v>35</v>
      </c>
      <c r="I16" s="25"/>
      <c r="J16" s="8" t="s">
        <v>36</v>
      </c>
      <c r="K16" s="1"/>
      <c r="L16" s="1"/>
      <c r="M16" s="28"/>
      <c r="N16" s="31"/>
    </row>
    <row r="17" spans="1:14" x14ac:dyDescent="0.3">
      <c r="A17" s="52">
        <v>2026</v>
      </c>
      <c r="B17" s="1">
        <v>3</v>
      </c>
      <c r="C17" s="1">
        <v>343</v>
      </c>
      <c r="D17" s="17">
        <v>46050</v>
      </c>
      <c r="E17" s="2">
        <v>14.5</v>
      </c>
      <c r="F17" s="10">
        <v>35</v>
      </c>
      <c r="G17" s="36" t="s">
        <v>15</v>
      </c>
      <c r="H17" s="1" t="s">
        <v>29</v>
      </c>
      <c r="I17" s="25">
        <v>46</v>
      </c>
      <c r="J17" s="8" t="s">
        <v>17</v>
      </c>
      <c r="K17" s="1">
        <v>7</v>
      </c>
      <c r="L17" s="1">
        <v>11</v>
      </c>
      <c r="M17" s="28">
        <v>8.1521739130434785</v>
      </c>
      <c r="N17" s="31">
        <v>22</v>
      </c>
    </row>
    <row r="18" spans="1:14" x14ac:dyDescent="0.3">
      <c r="A18" s="52">
        <v>2026</v>
      </c>
      <c r="B18" s="1">
        <v>3</v>
      </c>
      <c r="C18" s="1">
        <v>344</v>
      </c>
      <c r="D18" s="17">
        <v>46050</v>
      </c>
      <c r="E18" s="2">
        <v>14.2</v>
      </c>
      <c r="F18" s="10">
        <v>36</v>
      </c>
      <c r="G18" s="36" t="s">
        <v>15</v>
      </c>
      <c r="H18" s="1" t="s">
        <v>29</v>
      </c>
      <c r="I18" s="25">
        <v>123</v>
      </c>
      <c r="J18" s="8" t="s">
        <v>17</v>
      </c>
      <c r="K18" s="1">
        <v>7</v>
      </c>
      <c r="L18" s="1">
        <v>12</v>
      </c>
      <c r="M18" s="28">
        <v>8.85</v>
      </c>
      <c r="N18" s="31">
        <v>43</v>
      </c>
    </row>
    <row r="19" spans="1:14" x14ac:dyDescent="0.3">
      <c r="A19" s="52">
        <v>2026</v>
      </c>
      <c r="B19" s="1">
        <v>3</v>
      </c>
      <c r="C19" s="1">
        <v>345</v>
      </c>
      <c r="D19" s="17"/>
      <c r="E19" s="2"/>
      <c r="F19" s="10"/>
      <c r="G19" s="36" t="s">
        <v>27</v>
      </c>
      <c r="H19" s="1"/>
      <c r="I19" s="25"/>
      <c r="J19" s="8"/>
      <c r="K19" s="1"/>
      <c r="L19" s="1"/>
      <c r="M19" s="28"/>
      <c r="N19" s="31"/>
    </row>
    <row r="20" spans="1:14" x14ac:dyDescent="0.3">
      <c r="A20" s="52">
        <v>2026</v>
      </c>
      <c r="B20" s="1">
        <v>3</v>
      </c>
      <c r="C20" s="1">
        <v>346</v>
      </c>
      <c r="D20" s="17"/>
      <c r="E20" s="2"/>
      <c r="F20" s="10"/>
      <c r="G20" s="36" t="s">
        <v>27</v>
      </c>
      <c r="H20" s="1"/>
      <c r="I20" s="25"/>
      <c r="J20" s="8"/>
      <c r="K20" s="1"/>
      <c r="L20" s="1"/>
      <c r="M20" s="28"/>
      <c r="N20" s="31"/>
    </row>
    <row r="21" spans="1:14" x14ac:dyDescent="0.3">
      <c r="A21" s="52">
        <v>2026</v>
      </c>
      <c r="B21" s="1">
        <v>3</v>
      </c>
      <c r="C21" s="1">
        <v>347</v>
      </c>
      <c r="D21" s="17"/>
      <c r="E21" s="2"/>
      <c r="F21" s="10"/>
      <c r="G21" s="36" t="s">
        <v>27</v>
      </c>
      <c r="H21" s="1"/>
      <c r="I21" s="25"/>
      <c r="J21" s="8"/>
      <c r="K21" s="1"/>
      <c r="L21" s="1"/>
      <c r="M21" s="28"/>
      <c r="N21" s="31"/>
    </row>
    <row r="22" spans="1:14" x14ac:dyDescent="0.3">
      <c r="A22" s="52">
        <v>2026</v>
      </c>
      <c r="B22" s="1">
        <v>3</v>
      </c>
      <c r="C22" s="1">
        <v>348</v>
      </c>
      <c r="D22" s="17">
        <v>46050</v>
      </c>
      <c r="E22" s="2">
        <v>7</v>
      </c>
      <c r="F22" s="10">
        <v>56</v>
      </c>
      <c r="G22" s="36" t="s">
        <v>15</v>
      </c>
      <c r="H22" s="1" t="s">
        <v>29</v>
      </c>
      <c r="I22" s="25">
        <v>118</v>
      </c>
      <c r="J22" s="8" t="s">
        <v>17</v>
      </c>
      <c r="K22" s="1">
        <v>7</v>
      </c>
      <c r="L22" s="1">
        <v>12</v>
      </c>
      <c r="M22" s="28">
        <v>9.9101123595505616</v>
      </c>
      <c r="N22" s="31">
        <v>15</v>
      </c>
    </row>
    <row r="23" spans="1:14" x14ac:dyDescent="0.3">
      <c r="A23" s="52">
        <v>2026</v>
      </c>
      <c r="B23" s="1">
        <v>3</v>
      </c>
      <c r="C23" s="1">
        <v>349</v>
      </c>
      <c r="D23" s="17"/>
      <c r="E23" s="2"/>
      <c r="F23" s="10"/>
      <c r="G23" s="36" t="s">
        <v>27</v>
      </c>
      <c r="H23" s="1" t="s">
        <v>35</v>
      </c>
      <c r="I23" s="25"/>
      <c r="J23" s="1" t="s">
        <v>36</v>
      </c>
      <c r="K23" s="1"/>
      <c r="L23" s="1"/>
      <c r="M23" s="28"/>
      <c r="N23" s="31"/>
    </row>
    <row r="24" spans="1:14" x14ac:dyDescent="0.3">
      <c r="A24" s="52">
        <v>2026</v>
      </c>
      <c r="B24" s="1">
        <v>3</v>
      </c>
      <c r="C24" s="1">
        <v>401</v>
      </c>
      <c r="D24" s="53">
        <v>46048</v>
      </c>
      <c r="E24" s="2"/>
      <c r="F24" s="10">
        <v>30</v>
      </c>
      <c r="G24" s="36" t="s">
        <v>15</v>
      </c>
      <c r="H24" s="1" t="s">
        <v>29</v>
      </c>
      <c r="I24" s="25">
        <v>30</v>
      </c>
      <c r="J24" s="8" t="s">
        <v>17</v>
      </c>
      <c r="K24" s="1">
        <v>6</v>
      </c>
      <c r="L24" s="1">
        <v>12</v>
      </c>
      <c r="M24" s="28">
        <v>8.0666666666666664</v>
      </c>
      <c r="N24" s="31">
        <v>21</v>
      </c>
    </row>
    <row r="25" spans="1:14" x14ac:dyDescent="0.3">
      <c r="A25" s="52">
        <v>2026</v>
      </c>
      <c r="B25" s="1">
        <v>3</v>
      </c>
      <c r="C25" s="8">
        <v>404</v>
      </c>
      <c r="D25" s="18">
        <v>46048</v>
      </c>
      <c r="E25" s="2">
        <v>29.6</v>
      </c>
      <c r="F25" s="10">
        <v>26</v>
      </c>
      <c r="G25" s="36" t="s">
        <v>15</v>
      </c>
      <c r="H25" s="1" t="s">
        <v>29</v>
      </c>
      <c r="I25" s="25">
        <v>35</v>
      </c>
      <c r="J25" s="8" t="s">
        <v>17</v>
      </c>
      <c r="K25" s="1">
        <v>6</v>
      </c>
      <c r="L25" s="1">
        <v>10</v>
      </c>
      <c r="M25" s="28">
        <v>8</v>
      </c>
      <c r="N25" s="31">
        <v>22</v>
      </c>
    </row>
    <row r="26" spans="1:14" x14ac:dyDescent="0.3">
      <c r="A26" s="52">
        <v>2026</v>
      </c>
      <c r="B26" s="1">
        <v>3</v>
      </c>
      <c r="C26" s="1">
        <v>405</v>
      </c>
      <c r="D26" s="17">
        <v>46048</v>
      </c>
      <c r="E26" s="2">
        <v>325</v>
      </c>
      <c r="F26" s="10">
        <v>20</v>
      </c>
      <c r="G26" s="36" t="s">
        <v>15</v>
      </c>
      <c r="H26" s="1" t="s">
        <v>29</v>
      </c>
      <c r="I26" s="25">
        <v>13</v>
      </c>
      <c r="J26" s="1" t="s">
        <v>17</v>
      </c>
      <c r="K26" s="1">
        <v>7</v>
      </c>
      <c r="L26" s="1">
        <v>9</v>
      </c>
      <c r="M26" s="28">
        <v>7.9230769230769234</v>
      </c>
      <c r="N26" s="31">
        <v>12</v>
      </c>
    </row>
    <row r="27" spans="1:14" x14ac:dyDescent="0.3">
      <c r="A27" s="52">
        <v>2026</v>
      </c>
      <c r="B27" s="1">
        <v>3</v>
      </c>
      <c r="C27" s="1">
        <v>411</v>
      </c>
      <c r="D27" s="17">
        <v>46048</v>
      </c>
      <c r="E27" s="2"/>
      <c r="F27" s="10">
        <v>42</v>
      </c>
      <c r="G27" s="36" t="s">
        <v>15</v>
      </c>
      <c r="H27" s="1" t="s">
        <v>29</v>
      </c>
      <c r="I27" s="25">
        <v>46</v>
      </c>
      <c r="J27" s="1" t="s">
        <v>17</v>
      </c>
      <c r="K27" s="1">
        <v>7</v>
      </c>
      <c r="L27" s="1">
        <v>9</v>
      </c>
      <c r="M27" s="28">
        <v>7.9130434782608692</v>
      </c>
      <c r="N27" s="31">
        <v>33</v>
      </c>
    </row>
    <row r="28" spans="1:14" x14ac:dyDescent="0.3">
      <c r="A28" s="52">
        <v>2026</v>
      </c>
      <c r="B28" s="1">
        <v>3</v>
      </c>
      <c r="C28" s="94" t="s">
        <v>37</v>
      </c>
      <c r="D28" s="17">
        <v>46048</v>
      </c>
      <c r="E28" s="2"/>
      <c r="F28" s="10">
        <v>33</v>
      </c>
      <c r="G28" s="36" t="s">
        <v>15</v>
      </c>
      <c r="H28" s="1" t="s">
        <v>29</v>
      </c>
      <c r="I28" s="25">
        <v>24</v>
      </c>
      <c r="J28" s="1" t="s">
        <v>17</v>
      </c>
      <c r="K28" s="1">
        <v>6</v>
      </c>
      <c r="L28" s="1">
        <v>9</v>
      </c>
      <c r="M28" s="28">
        <v>7.083333333333333</v>
      </c>
      <c r="N28" s="31">
        <v>17</v>
      </c>
    </row>
    <row r="29" spans="1:14" x14ac:dyDescent="0.3">
      <c r="A29" s="52">
        <v>2026</v>
      </c>
      <c r="B29" s="1">
        <v>3</v>
      </c>
      <c r="C29" s="1">
        <v>501</v>
      </c>
      <c r="D29" s="17"/>
      <c r="E29" s="2"/>
      <c r="F29" s="10"/>
      <c r="G29" s="36" t="s">
        <v>27</v>
      </c>
      <c r="H29" s="1" t="s">
        <v>35</v>
      </c>
      <c r="I29" s="25"/>
      <c r="J29" s="1" t="s">
        <v>36</v>
      </c>
      <c r="K29" s="1"/>
      <c r="L29" s="1"/>
      <c r="M29" s="28"/>
      <c r="N29" s="31"/>
    </row>
    <row r="30" spans="1:14" x14ac:dyDescent="0.3">
      <c r="A30" s="52">
        <v>2026</v>
      </c>
      <c r="B30" s="1">
        <v>3</v>
      </c>
      <c r="C30" s="1">
        <v>504</v>
      </c>
      <c r="D30" s="17">
        <v>46048</v>
      </c>
      <c r="E30" s="2"/>
      <c r="F30" s="10">
        <v>40</v>
      </c>
      <c r="G30" s="36" t="s">
        <v>15</v>
      </c>
      <c r="H30" s="1" t="s">
        <v>29</v>
      </c>
      <c r="I30" s="25">
        <v>31</v>
      </c>
      <c r="J30" s="1" t="s">
        <v>17</v>
      </c>
      <c r="K30" s="1">
        <v>6</v>
      </c>
      <c r="L30" s="1">
        <v>9</v>
      </c>
      <c r="M30" s="28">
        <v>7.5483870967741939</v>
      </c>
      <c r="N30" s="31">
        <v>26</v>
      </c>
    </row>
    <row r="31" spans="1:14" x14ac:dyDescent="0.3">
      <c r="A31" s="52">
        <v>2026</v>
      </c>
      <c r="B31" s="1">
        <v>3</v>
      </c>
      <c r="C31" s="1">
        <v>508</v>
      </c>
      <c r="D31" s="17">
        <v>46048</v>
      </c>
      <c r="E31" s="2">
        <v>21.5</v>
      </c>
      <c r="F31" s="10">
        <v>35</v>
      </c>
      <c r="G31" s="36" t="s">
        <v>15</v>
      </c>
      <c r="H31" s="1" t="s">
        <v>29</v>
      </c>
      <c r="I31" s="38">
        <v>38</v>
      </c>
      <c r="J31" s="54" t="s">
        <v>17</v>
      </c>
      <c r="K31" s="1">
        <v>6</v>
      </c>
      <c r="L31" s="1">
        <v>8</v>
      </c>
      <c r="M31" s="2">
        <v>6.6</v>
      </c>
      <c r="N31" s="31">
        <v>33</v>
      </c>
    </row>
    <row r="32" spans="1:14" x14ac:dyDescent="0.3">
      <c r="A32" s="52">
        <v>2026</v>
      </c>
      <c r="B32" s="1">
        <v>3</v>
      </c>
      <c r="C32" s="1">
        <v>513</v>
      </c>
      <c r="D32" s="17">
        <v>46048</v>
      </c>
      <c r="E32" s="2">
        <v>16.8</v>
      </c>
      <c r="F32" s="10">
        <v>53</v>
      </c>
      <c r="G32" s="36" t="s">
        <v>15</v>
      </c>
      <c r="H32" s="1" t="s">
        <v>29</v>
      </c>
      <c r="I32" s="38">
        <v>48</v>
      </c>
      <c r="J32" s="55" t="s">
        <v>17</v>
      </c>
      <c r="K32" s="1">
        <v>5</v>
      </c>
      <c r="L32" s="1">
        <v>81</v>
      </c>
      <c r="M32" s="2">
        <v>8.4166666666666661</v>
      </c>
      <c r="N32" s="31">
        <v>26</v>
      </c>
    </row>
    <row r="33" spans="1:14" x14ac:dyDescent="0.3">
      <c r="A33" s="52">
        <v>2026</v>
      </c>
      <c r="B33" s="1">
        <v>3</v>
      </c>
      <c r="C33" s="1">
        <v>519</v>
      </c>
      <c r="D33" s="17">
        <v>46048</v>
      </c>
      <c r="E33" s="2">
        <v>25.3</v>
      </c>
      <c r="F33" s="10">
        <v>29</v>
      </c>
      <c r="G33" s="36" t="s">
        <v>15</v>
      </c>
      <c r="H33" s="1" t="s">
        <v>29</v>
      </c>
      <c r="I33" s="25">
        <v>32</v>
      </c>
      <c r="J33" s="1" t="s">
        <v>17</v>
      </c>
      <c r="K33" s="1">
        <v>6</v>
      </c>
      <c r="L33" s="1">
        <v>7</v>
      </c>
      <c r="M33" s="28">
        <v>6.7</v>
      </c>
      <c r="N33" s="31">
        <v>13</v>
      </c>
    </row>
    <row r="34" spans="1:14" x14ac:dyDescent="0.3">
      <c r="A34" s="52">
        <v>2026</v>
      </c>
      <c r="B34" s="1">
        <v>3</v>
      </c>
      <c r="C34" s="1">
        <v>520</v>
      </c>
      <c r="D34" s="17">
        <v>46048</v>
      </c>
      <c r="E34" s="2">
        <v>13.7</v>
      </c>
      <c r="F34" s="10">
        <v>52</v>
      </c>
      <c r="G34" s="36" t="s">
        <v>15</v>
      </c>
      <c r="H34" s="1" t="s">
        <v>29</v>
      </c>
      <c r="I34" s="25">
        <v>13</v>
      </c>
      <c r="J34" s="1" t="s">
        <v>17</v>
      </c>
      <c r="K34" s="1">
        <v>6</v>
      </c>
      <c r="L34" s="1">
        <v>7</v>
      </c>
      <c r="M34" s="28">
        <v>6.7</v>
      </c>
      <c r="N34" s="31">
        <v>6</v>
      </c>
    </row>
    <row r="35" spans="1:14" x14ac:dyDescent="0.3">
      <c r="A35" s="52">
        <v>2026</v>
      </c>
      <c r="B35" s="1">
        <v>3</v>
      </c>
      <c r="C35" s="1">
        <v>602</v>
      </c>
      <c r="D35" s="17">
        <v>46050</v>
      </c>
      <c r="E35" s="2">
        <v>17.600000000000001</v>
      </c>
      <c r="F35" s="10">
        <v>38</v>
      </c>
      <c r="G35" s="36" t="s">
        <v>15</v>
      </c>
      <c r="H35" s="1" t="s">
        <v>29</v>
      </c>
      <c r="I35" s="25">
        <v>50</v>
      </c>
      <c r="J35" s="1" t="s">
        <v>17</v>
      </c>
      <c r="K35" s="1">
        <v>7</v>
      </c>
      <c r="L35" s="1">
        <v>10</v>
      </c>
      <c r="M35" s="28">
        <v>7.98</v>
      </c>
      <c r="N35" s="31">
        <v>39</v>
      </c>
    </row>
    <row r="36" spans="1:14" x14ac:dyDescent="0.3">
      <c r="A36" s="52">
        <v>2026</v>
      </c>
      <c r="B36" s="1">
        <v>3</v>
      </c>
      <c r="C36" s="1">
        <v>606</v>
      </c>
      <c r="D36" s="17"/>
      <c r="E36" s="2"/>
      <c r="F36" s="10"/>
      <c r="G36" s="36" t="s">
        <v>27</v>
      </c>
      <c r="H36" s="1" t="s">
        <v>35</v>
      </c>
      <c r="I36" s="25"/>
      <c r="J36" s="1" t="s">
        <v>36</v>
      </c>
      <c r="K36" s="1"/>
      <c r="L36" s="1"/>
      <c r="M36" s="28"/>
      <c r="N36" s="31"/>
    </row>
    <row r="37" spans="1:14" x14ac:dyDescent="0.3">
      <c r="A37" s="52">
        <v>2026</v>
      </c>
      <c r="B37" s="1">
        <v>3</v>
      </c>
      <c r="C37" s="1">
        <v>609</v>
      </c>
      <c r="D37" s="17">
        <v>46050</v>
      </c>
      <c r="E37" s="2">
        <v>22.5</v>
      </c>
      <c r="F37" s="10">
        <v>38</v>
      </c>
      <c r="G37" s="36" t="s">
        <v>15</v>
      </c>
      <c r="H37" s="1" t="s">
        <v>29</v>
      </c>
      <c r="I37" s="38">
        <v>5</v>
      </c>
      <c r="J37" s="1" t="s">
        <v>17</v>
      </c>
      <c r="K37" s="1">
        <v>6</v>
      </c>
      <c r="L37" s="1">
        <v>6</v>
      </c>
      <c r="M37" s="28">
        <v>6</v>
      </c>
      <c r="N37" s="31">
        <v>2</v>
      </c>
    </row>
    <row r="38" spans="1:14" x14ac:dyDescent="0.3">
      <c r="A38" s="52">
        <v>2026</v>
      </c>
      <c r="B38" s="1">
        <v>3</v>
      </c>
      <c r="C38" s="1">
        <v>610</v>
      </c>
      <c r="D38" s="17">
        <v>46050</v>
      </c>
      <c r="E38" s="2">
        <v>12.5</v>
      </c>
      <c r="F38" s="10">
        <v>72</v>
      </c>
      <c r="G38" s="36" t="s">
        <v>15</v>
      </c>
      <c r="H38" s="1" t="s">
        <v>29</v>
      </c>
      <c r="I38" s="38">
        <v>11</v>
      </c>
      <c r="J38" s="1" t="s">
        <v>17</v>
      </c>
      <c r="K38" s="1">
        <v>6</v>
      </c>
      <c r="L38" s="1">
        <v>7</v>
      </c>
      <c r="M38" s="28">
        <v>6.875</v>
      </c>
      <c r="N38" s="31">
        <v>3</v>
      </c>
    </row>
    <row r="39" spans="1:14" x14ac:dyDescent="0.3">
      <c r="A39" s="52">
        <v>2026</v>
      </c>
      <c r="B39" s="1">
        <v>3</v>
      </c>
      <c r="C39" s="1">
        <v>703</v>
      </c>
      <c r="D39" s="17">
        <v>46050</v>
      </c>
      <c r="E39" s="2">
        <v>11.8</v>
      </c>
      <c r="F39" s="10">
        <v>82</v>
      </c>
      <c r="G39" s="36" t="s">
        <v>15</v>
      </c>
      <c r="H39" s="1" t="s">
        <v>29</v>
      </c>
      <c r="I39" s="25">
        <v>2</v>
      </c>
      <c r="J39" s="1" t="s">
        <v>17</v>
      </c>
      <c r="K39" s="1">
        <v>7</v>
      </c>
      <c r="L39" s="1">
        <v>8</v>
      </c>
      <c r="M39" s="28">
        <v>7.5</v>
      </c>
      <c r="N39" s="31">
        <v>0</v>
      </c>
    </row>
    <row r="40" spans="1:14" x14ac:dyDescent="0.3">
      <c r="A40" s="52">
        <v>2026</v>
      </c>
      <c r="B40" s="1">
        <v>3</v>
      </c>
      <c r="C40" s="1">
        <v>704</v>
      </c>
      <c r="D40" s="17">
        <v>46050</v>
      </c>
      <c r="E40" s="2">
        <v>10.6</v>
      </c>
      <c r="F40" s="10">
        <v>58</v>
      </c>
      <c r="G40" s="36" t="s">
        <v>15</v>
      </c>
      <c r="H40" s="1" t="s">
        <v>29</v>
      </c>
      <c r="I40" s="25">
        <v>8</v>
      </c>
      <c r="J40" s="1" t="s">
        <v>17</v>
      </c>
      <c r="K40" s="1">
        <v>6</v>
      </c>
      <c r="L40" s="1">
        <v>7</v>
      </c>
      <c r="M40" s="28">
        <v>6.625</v>
      </c>
      <c r="N40" s="31">
        <v>8</v>
      </c>
    </row>
    <row r="41" spans="1:14" x14ac:dyDescent="0.3">
      <c r="A41" s="52">
        <v>2026</v>
      </c>
      <c r="B41" s="1">
        <v>3</v>
      </c>
      <c r="C41" s="1">
        <v>705</v>
      </c>
      <c r="D41" s="17">
        <v>46049</v>
      </c>
      <c r="E41" s="2">
        <v>9.3000000000000007</v>
      </c>
      <c r="F41" s="10">
        <v>96</v>
      </c>
      <c r="G41" s="36" t="s">
        <v>15</v>
      </c>
      <c r="H41" s="1" t="s">
        <v>29</v>
      </c>
      <c r="I41" s="25">
        <v>5</v>
      </c>
      <c r="J41" s="1" t="s">
        <v>17</v>
      </c>
      <c r="K41" s="1">
        <v>6</v>
      </c>
      <c r="L41" s="1">
        <v>7</v>
      </c>
      <c r="M41" s="28">
        <v>6.6</v>
      </c>
      <c r="N41" s="31">
        <v>4</v>
      </c>
    </row>
    <row r="42" spans="1:14" x14ac:dyDescent="0.3">
      <c r="A42" s="52">
        <v>2026</v>
      </c>
      <c r="B42" s="1">
        <v>3</v>
      </c>
      <c r="C42" s="1">
        <v>706</v>
      </c>
      <c r="D42" s="17">
        <v>46049</v>
      </c>
      <c r="E42" s="2">
        <v>15.3</v>
      </c>
      <c r="F42" s="10">
        <v>55</v>
      </c>
      <c r="G42" s="36" t="s">
        <v>15</v>
      </c>
      <c r="H42" s="1" t="s">
        <v>29</v>
      </c>
      <c r="I42" s="25">
        <v>2</v>
      </c>
      <c r="J42" s="1" t="s">
        <v>17</v>
      </c>
      <c r="K42" s="1">
        <v>5</v>
      </c>
      <c r="L42" s="1">
        <v>5</v>
      </c>
      <c r="M42" s="28">
        <v>5</v>
      </c>
      <c r="N42" s="31">
        <v>1</v>
      </c>
    </row>
    <row r="43" spans="1:14" x14ac:dyDescent="0.3">
      <c r="A43" s="52">
        <v>2026</v>
      </c>
      <c r="B43" s="1">
        <v>3</v>
      </c>
      <c r="C43" s="1">
        <v>707</v>
      </c>
      <c r="D43" s="17">
        <v>46049</v>
      </c>
      <c r="E43" s="2">
        <v>12.8</v>
      </c>
      <c r="F43" s="10">
        <v>62</v>
      </c>
      <c r="G43" s="36" t="s">
        <v>15</v>
      </c>
      <c r="H43" s="1" t="s">
        <v>29</v>
      </c>
      <c r="I43" s="25">
        <v>3</v>
      </c>
      <c r="J43" s="1" t="s">
        <v>17</v>
      </c>
      <c r="K43" s="1">
        <v>6</v>
      </c>
      <c r="L43" s="1">
        <v>6</v>
      </c>
      <c r="M43" s="28">
        <v>6</v>
      </c>
      <c r="N43" s="31">
        <v>3</v>
      </c>
    </row>
    <row r="44" spans="1:14" x14ac:dyDescent="0.3">
      <c r="A44" s="52">
        <v>2026</v>
      </c>
      <c r="B44" s="1">
        <v>3</v>
      </c>
      <c r="C44" s="1">
        <v>711</v>
      </c>
      <c r="D44" s="17">
        <v>46049</v>
      </c>
      <c r="E44" s="2">
        <v>15</v>
      </c>
      <c r="F44" s="10">
        <v>68</v>
      </c>
      <c r="G44" s="36" t="s">
        <v>15</v>
      </c>
      <c r="H44" s="1" t="s">
        <v>16</v>
      </c>
      <c r="I44" s="25"/>
      <c r="J44" s="1" t="s">
        <v>17</v>
      </c>
      <c r="K44" s="1"/>
      <c r="L44" s="1"/>
      <c r="M44" s="28"/>
      <c r="N44" s="31"/>
    </row>
    <row r="45" spans="1:14" x14ac:dyDescent="0.3">
      <c r="A45" s="52">
        <v>2026</v>
      </c>
      <c r="B45" s="1">
        <v>3</v>
      </c>
      <c r="C45" s="1">
        <v>716</v>
      </c>
      <c r="D45" s="17">
        <v>46049</v>
      </c>
      <c r="E45" s="2">
        <v>10.1</v>
      </c>
      <c r="F45" s="10">
        <v>79</v>
      </c>
      <c r="G45" s="36" t="s">
        <v>15</v>
      </c>
      <c r="H45" s="1" t="s">
        <v>16</v>
      </c>
      <c r="I45" s="25"/>
      <c r="J45" s="1" t="s">
        <v>17</v>
      </c>
      <c r="K45" s="1"/>
      <c r="L45" s="1"/>
      <c r="M45" s="28"/>
      <c r="N45" s="31"/>
    </row>
    <row r="46" spans="1:14" x14ac:dyDescent="0.3">
      <c r="A46" s="52">
        <v>2026</v>
      </c>
      <c r="B46" s="1">
        <v>3</v>
      </c>
      <c r="C46" s="1">
        <v>723</v>
      </c>
      <c r="D46" s="17">
        <v>46049</v>
      </c>
      <c r="E46" s="2">
        <v>10.1</v>
      </c>
      <c r="F46" s="10">
        <v>82</v>
      </c>
      <c r="G46" s="36" t="s">
        <v>15</v>
      </c>
      <c r="H46" s="1" t="s">
        <v>29</v>
      </c>
      <c r="I46" s="25">
        <v>2</v>
      </c>
      <c r="J46" s="1" t="s">
        <v>17</v>
      </c>
      <c r="K46" s="1">
        <v>6</v>
      </c>
      <c r="L46" s="1">
        <v>6</v>
      </c>
      <c r="M46" s="28">
        <v>6</v>
      </c>
      <c r="N46" s="31">
        <v>2</v>
      </c>
    </row>
    <row r="47" spans="1:14" x14ac:dyDescent="0.3">
      <c r="A47" s="52">
        <v>2026</v>
      </c>
      <c r="B47" s="1">
        <v>3</v>
      </c>
      <c r="C47" s="1">
        <v>801</v>
      </c>
      <c r="D47" s="17">
        <v>46048</v>
      </c>
      <c r="E47" s="2"/>
      <c r="F47" s="10">
        <v>58</v>
      </c>
      <c r="G47" s="36" t="s">
        <v>15</v>
      </c>
      <c r="H47" s="1" t="s">
        <v>29</v>
      </c>
      <c r="I47" s="25">
        <v>16</v>
      </c>
      <c r="J47" s="1" t="s">
        <v>17</v>
      </c>
      <c r="K47" s="1">
        <v>6</v>
      </c>
      <c r="L47" s="1">
        <v>7</v>
      </c>
      <c r="M47" s="28">
        <v>6.4285714285714288</v>
      </c>
      <c r="N47" s="31">
        <v>4</v>
      </c>
    </row>
    <row r="48" spans="1:14" x14ac:dyDescent="0.3">
      <c r="A48" s="52">
        <v>2026</v>
      </c>
      <c r="B48" s="1">
        <v>3</v>
      </c>
      <c r="C48" s="1">
        <v>804</v>
      </c>
      <c r="D48" s="17">
        <v>46048</v>
      </c>
      <c r="E48" s="2">
        <v>13.3</v>
      </c>
      <c r="F48" s="10">
        <v>64</v>
      </c>
      <c r="G48" s="36" t="s">
        <v>15</v>
      </c>
      <c r="H48" s="1" t="s">
        <v>29</v>
      </c>
      <c r="I48" s="25">
        <v>9</v>
      </c>
      <c r="J48" s="1" t="s">
        <v>17</v>
      </c>
      <c r="K48" s="1">
        <v>6</v>
      </c>
      <c r="L48" s="1">
        <v>7</v>
      </c>
      <c r="M48" s="28">
        <v>6.2222222222222223</v>
      </c>
      <c r="N48" s="31">
        <v>9</v>
      </c>
    </row>
    <row r="49" spans="1:14" x14ac:dyDescent="0.3">
      <c r="A49" s="74">
        <v>2026</v>
      </c>
      <c r="B49" s="44">
        <v>3</v>
      </c>
      <c r="C49" s="45">
        <v>809</v>
      </c>
      <c r="D49" s="19">
        <v>46048</v>
      </c>
      <c r="E49" s="4">
        <v>11</v>
      </c>
      <c r="F49" s="11">
        <v>84</v>
      </c>
      <c r="G49" s="37" t="s">
        <v>15</v>
      </c>
      <c r="H49" s="3" t="s">
        <v>29</v>
      </c>
      <c r="I49" s="26">
        <v>5</v>
      </c>
      <c r="J49" s="3" t="s">
        <v>17</v>
      </c>
      <c r="K49" s="3">
        <v>6</v>
      </c>
      <c r="L49" s="3">
        <v>7</v>
      </c>
      <c r="M49" s="29">
        <v>6.8</v>
      </c>
      <c r="N49" s="32">
        <v>0</v>
      </c>
    </row>
    <row r="50" spans="1:14" x14ac:dyDescent="0.3">
      <c r="A50" s="74">
        <v>2026</v>
      </c>
      <c r="B50" s="44">
        <v>3</v>
      </c>
      <c r="C50" s="45">
        <v>812</v>
      </c>
      <c r="D50" s="19">
        <v>46048</v>
      </c>
      <c r="E50" s="4">
        <v>8.5</v>
      </c>
      <c r="F50" s="11">
        <v>83</v>
      </c>
      <c r="G50" s="37" t="s">
        <v>15</v>
      </c>
      <c r="H50" s="3" t="s">
        <v>29</v>
      </c>
      <c r="I50" s="26">
        <v>4</v>
      </c>
      <c r="J50" s="3" t="s">
        <v>17</v>
      </c>
      <c r="K50" s="3">
        <v>6</v>
      </c>
      <c r="L50" s="3">
        <v>7</v>
      </c>
      <c r="M50" s="29">
        <v>6.5</v>
      </c>
      <c r="N50" s="32">
        <v>2</v>
      </c>
    </row>
    <row r="51" spans="1:14" x14ac:dyDescent="0.3">
      <c r="A51" s="52">
        <v>2026</v>
      </c>
      <c r="B51" s="1">
        <v>3</v>
      </c>
      <c r="C51" s="1">
        <v>815</v>
      </c>
      <c r="D51" s="17">
        <v>46048</v>
      </c>
      <c r="E51" s="2">
        <v>8.6</v>
      </c>
      <c r="F51" s="10">
        <v>81</v>
      </c>
      <c r="G51" s="36" t="s">
        <v>15</v>
      </c>
      <c r="H51" s="1" t="s">
        <v>29</v>
      </c>
      <c r="I51" s="25">
        <v>2</v>
      </c>
      <c r="J51" s="1" t="s">
        <v>17</v>
      </c>
      <c r="K51" s="1">
        <v>6</v>
      </c>
      <c r="L51" s="1">
        <v>6</v>
      </c>
      <c r="M51" s="28">
        <v>6</v>
      </c>
      <c r="N51" s="31">
        <v>2</v>
      </c>
    </row>
    <row r="52" spans="1:14" x14ac:dyDescent="0.3">
      <c r="A52" s="52">
        <v>2026</v>
      </c>
      <c r="B52" s="1">
        <v>3</v>
      </c>
      <c r="C52" s="1">
        <v>901</v>
      </c>
      <c r="D52" s="17">
        <v>46048</v>
      </c>
      <c r="E52" s="2">
        <v>8.5</v>
      </c>
      <c r="F52" s="10">
        <v>81</v>
      </c>
      <c r="G52" s="36" t="s">
        <v>15</v>
      </c>
      <c r="H52" s="1" t="s">
        <v>29</v>
      </c>
      <c r="I52" s="10">
        <v>5</v>
      </c>
      <c r="J52" s="1" t="s">
        <v>17</v>
      </c>
      <c r="K52" s="1">
        <v>6</v>
      </c>
      <c r="L52" s="1">
        <v>7</v>
      </c>
      <c r="M52" s="28">
        <v>6.5</v>
      </c>
      <c r="N52" s="31">
        <v>2</v>
      </c>
    </row>
    <row r="53" spans="1:14" x14ac:dyDescent="0.3">
      <c r="A53" s="52">
        <v>2026</v>
      </c>
      <c r="B53" s="1">
        <v>3</v>
      </c>
      <c r="C53" s="1">
        <v>902</v>
      </c>
      <c r="D53" s="17">
        <v>46048</v>
      </c>
      <c r="E53" s="2">
        <v>6</v>
      </c>
      <c r="F53" s="10">
        <v>123</v>
      </c>
      <c r="G53" s="36" t="s">
        <v>15</v>
      </c>
      <c r="H53" s="1" t="s">
        <v>16</v>
      </c>
      <c r="I53" s="10"/>
      <c r="J53" s="1" t="s">
        <v>17</v>
      </c>
      <c r="K53" s="1"/>
      <c r="L53" s="1"/>
      <c r="M53" s="28"/>
      <c r="N53" s="31"/>
    </row>
    <row r="54" spans="1:14" x14ac:dyDescent="0.3">
      <c r="A54" s="52">
        <v>2026</v>
      </c>
      <c r="B54" s="1">
        <v>3</v>
      </c>
      <c r="C54" s="1">
        <v>906</v>
      </c>
      <c r="D54" s="17">
        <v>46049</v>
      </c>
      <c r="E54" s="2">
        <v>6</v>
      </c>
      <c r="F54" s="10">
        <v>134</v>
      </c>
      <c r="G54" s="36" t="s">
        <v>15</v>
      </c>
      <c r="H54" s="1" t="s">
        <v>16</v>
      </c>
      <c r="I54" s="10"/>
      <c r="J54" s="1" t="s">
        <v>17</v>
      </c>
      <c r="K54" s="1"/>
      <c r="L54" s="1"/>
      <c r="M54" s="28"/>
      <c r="N54" s="31"/>
    </row>
    <row r="55" spans="1:14" x14ac:dyDescent="0.3">
      <c r="A55" s="52">
        <v>2026</v>
      </c>
      <c r="B55" s="1">
        <v>3</v>
      </c>
      <c r="C55" s="1">
        <v>910</v>
      </c>
      <c r="D55" s="17">
        <v>46048</v>
      </c>
      <c r="E55" s="2">
        <v>8</v>
      </c>
      <c r="F55" s="10">
        <v>104</v>
      </c>
      <c r="G55" s="36" t="s">
        <v>15</v>
      </c>
      <c r="H55" s="1" t="s">
        <v>16</v>
      </c>
      <c r="I55" s="10"/>
      <c r="J55" s="1" t="s">
        <v>17</v>
      </c>
      <c r="K55" s="1"/>
      <c r="L55" s="1"/>
      <c r="M55" s="28"/>
      <c r="N55" s="31"/>
    </row>
    <row r="56" spans="1:14" x14ac:dyDescent="0.3">
      <c r="A56" s="52">
        <v>2026</v>
      </c>
      <c r="B56" s="1">
        <v>3</v>
      </c>
      <c r="C56" s="1">
        <v>912</v>
      </c>
      <c r="D56" s="17">
        <v>46048</v>
      </c>
      <c r="E56" s="2">
        <v>2.4</v>
      </c>
      <c r="F56" s="10">
        <v>200</v>
      </c>
      <c r="G56" s="36" t="s">
        <v>15</v>
      </c>
      <c r="H56" s="1" t="s">
        <v>16</v>
      </c>
      <c r="I56" s="10"/>
      <c r="J56" s="1" t="s">
        <v>17</v>
      </c>
      <c r="K56" s="1"/>
      <c r="L56" s="1"/>
      <c r="M56" s="28"/>
      <c r="N56" s="31"/>
    </row>
    <row r="57" spans="1:14" x14ac:dyDescent="0.3">
      <c r="A57" s="52">
        <v>2026</v>
      </c>
      <c r="B57" s="1">
        <v>3</v>
      </c>
      <c r="C57" s="1">
        <v>914</v>
      </c>
      <c r="D57" s="17">
        <v>46048</v>
      </c>
      <c r="E57" s="2">
        <v>4.5999999999999996</v>
      </c>
      <c r="F57" s="10">
        <v>159</v>
      </c>
      <c r="G57" s="36" t="s">
        <v>15</v>
      </c>
      <c r="H57" s="1" t="s">
        <v>16</v>
      </c>
      <c r="I57" s="10"/>
      <c r="J57" s="1" t="s">
        <v>17</v>
      </c>
      <c r="K57" s="1"/>
      <c r="L57" s="1"/>
      <c r="M57" s="28"/>
      <c r="N57" s="31"/>
    </row>
    <row r="58" spans="1:14" x14ac:dyDescent="0.3">
      <c r="A58" s="52">
        <v>2026</v>
      </c>
      <c r="B58" s="1">
        <v>3</v>
      </c>
      <c r="C58" s="1">
        <v>915</v>
      </c>
      <c r="D58" s="17">
        <v>46048</v>
      </c>
      <c r="E58" s="2">
        <v>5.3</v>
      </c>
      <c r="F58" s="10">
        <v>155</v>
      </c>
      <c r="G58" s="36" t="s">
        <v>15</v>
      </c>
      <c r="H58" s="1" t="s">
        <v>16</v>
      </c>
      <c r="I58" s="10"/>
      <c r="J58" s="1" t="s">
        <v>17</v>
      </c>
      <c r="K58" s="1"/>
      <c r="L58" s="1"/>
      <c r="M58" s="28"/>
      <c r="N58" s="31"/>
    </row>
    <row r="59" spans="1:14" x14ac:dyDescent="0.3">
      <c r="A59" s="52">
        <v>2026</v>
      </c>
      <c r="B59" s="1">
        <v>3</v>
      </c>
      <c r="C59" s="1">
        <v>918</v>
      </c>
      <c r="D59" s="17">
        <v>46048</v>
      </c>
      <c r="E59" s="2">
        <v>4.7</v>
      </c>
      <c r="F59" s="10">
        <v>147</v>
      </c>
      <c r="G59" s="36" t="s">
        <v>15</v>
      </c>
      <c r="H59" s="1" t="s">
        <v>16</v>
      </c>
      <c r="I59" s="10"/>
      <c r="J59" s="1" t="s">
        <v>17</v>
      </c>
      <c r="K59" s="1"/>
      <c r="L59" s="1"/>
      <c r="M59" s="28"/>
      <c r="N59" s="31"/>
    </row>
    <row r="60" spans="1:14" ht="15" thickBot="1" x14ac:dyDescent="0.35">
      <c r="A60" s="75">
        <v>2026</v>
      </c>
      <c r="B60" s="67">
        <v>3</v>
      </c>
      <c r="C60" s="67">
        <v>919</v>
      </c>
      <c r="D60" s="68">
        <v>46049</v>
      </c>
      <c r="E60" s="69">
        <v>3.7</v>
      </c>
      <c r="F60" s="70">
        <v>194</v>
      </c>
      <c r="G60" s="36" t="s">
        <v>15</v>
      </c>
      <c r="H60" s="67" t="s">
        <v>16</v>
      </c>
      <c r="I60" s="70"/>
      <c r="J60" s="67" t="s">
        <v>17</v>
      </c>
      <c r="K60" s="67"/>
      <c r="L60" s="67"/>
      <c r="M60" s="72"/>
      <c r="N60" s="73"/>
    </row>
    <row r="61" spans="1:14" x14ac:dyDescent="0.3">
      <c r="A61" s="79" t="s">
        <v>31</v>
      </c>
      <c r="B61" s="80"/>
      <c r="C61" s="80"/>
      <c r="D61" s="80"/>
      <c r="E61" s="16"/>
      <c r="F61" s="35"/>
      <c r="G61" s="16"/>
      <c r="H61" s="5"/>
      <c r="I61" s="35"/>
      <c r="J61" s="6"/>
      <c r="K61" s="6"/>
      <c r="L61" s="6"/>
      <c r="M61" s="42"/>
      <c r="N61" s="6"/>
    </row>
    <row r="62" spans="1:14" x14ac:dyDescent="0.3">
      <c r="A62" s="79" t="s">
        <v>32</v>
      </c>
      <c r="B62" s="81"/>
      <c r="C62" s="81"/>
      <c r="D62" s="81"/>
      <c r="E62" s="27"/>
      <c r="F62" s="35"/>
      <c r="G62" s="27"/>
      <c r="H62" s="27"/>
      <c r="I62" s="35"/>
      <c r="J62" s="27"/>
      <c r="K62" s="27"/>
      <c r="L62" s="27"/>
      <c r="M62" s="43"/>
      <c r="N62" s="27"/>
    </row>
    <row r="63" spans="1:14" x14ac:dyDescent="0.3">
      <c r="A63" s="79" t="s">
        <v>33</v>
      </c>
      <c r="B63" s="81"/>
      <c r="C63" s="81"/>
      <c r="D63" s="81"/>
      <c r="E63" s="35"/>
      <c r="F63" s="35"/>
      <c r="G63" s="35"/>
      <c r="H63" s="35"/>
      <c r="I63" s="35"/>
      <c r="J63" s="56"/>
      <c r="K63" s="35"/>
      <c r="L63" s="35"/>
      <c r="M63" s="59"/>
      <c r="N63" s="35"/>
    </row>
    <row r="64" spans="1:14" x14ac:dyDescent="0.3">
      <c r="A64" s="82" t="s">
        <v>38</v>
      </c>
      <c r="B64" s="83"/>
      <c r="C64" s="83"/>
      <c r="D64" s="81"/>
      <c r="E64" s="35"/>
      <c r="F64" s="35"/>
      <c r="G64" s="35"/>
      <c r="H64" s="35"/>
      <c r="I64" s="35"/>
      <c r="J64" s="56"/>
      <c r="K64" s="35"/>
      <c r="L64" s="35"/>
      <c r="M64" s="59"/>
      <c r="N64" s="35"/>
    </row>
  </sheetData>
  <dataValidations count="3">
    <dataValidation type="list" allowBlank="1" showInputMessage="1" showErrorMessage="1" sqref="G2:G60" xr:uid="{B600865F-7F1E-4664-A243-477C99FF8B16}">
      <formula1>"Not Processed, Processed"</formula1>
    </dataValidation>
    <dataValidation type="list" allowBlank="1" showInputMessage="1" showErrorMessage="1" sqref="H2:H60" xr:uid="{E243357C-89FF-4ECF-A02D-212478F9C92D}">
      <formula1>"No Smelt Catch, Longfin Smelt "</formula1>
    </dataValidation>
    <dataValidation type="list" allowBlank="1" showInputMessage="1" showErrorMessage="1" sqref="J2:J60" xr:uid="{5C7C3E93-C586-4796-B1CE-42A07B75D666}">
      <formula1>"Preliminary, Completed"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EA92-BC53-46B4-A445-C47879B8CA3D}">
  <dimension ref="A1:O66"/>
  <sheetViews>
    <sheetView topLeftCell="A44" workbookViewId="0">
      <selection activeCell="G65" sqref="G65"/>
    </sheetView>
  </sheetViews>
  <sheetFormatPr defaultRowHeight="14.4" x14ac:dyDescent="0.3"/>
  <cols>
    <col min="6" max="6" width="6.6640625" bestFit="1" customWidth="1"/>
    <col min="7" max="7" width="13.44140625" bestFit="1" customWidth="1"/>
    <col min="8" max="8" width="14.33203125" bestFit="1" customWidth="1"/>
    <col min="10" max="10" width="9.88671875" bestFit="1" customWidth="1"/>
  </cols>
  <sheetData>
    <row r="1" spans="1:15" ht="53.4" thickBot="1" x14ac:dyDescent="0.35">
      <c r="A1" s="58" t="s">
        <v>0</v>
      </c>
      <c r="B1" s="46" t="s">
        <v>1</v>
      </c>
      <c r="C1" s="46" t="s">
        <v>2</v>
      </c>
      <c r="D1" s="47" t="s">
        <v>11</v>
      </c>
      <c r="E1" s="46" t="s">
        <v>13</v>
      </c>
      <c r="F1" s="46" t="s">
        <v>10</v>
      </c>
      <c r="G1" s="48" t="s">
        <v>3</v>
      </c>
      <c r="H1" s="46" t="s">
        <v>4</v>
      </c>
      <c r="I1" s="46" t="s">
        <v>5</v>
      </c>
      <c r="J1" s="46" t="s">
        <v>9</v>
      </c>
      <c r="K1" s="46" t="s">
        <v>6</v>
      </c>
      <c r="L1" s="46" t="s">
        <v>7</v>
      </c>
      <c r="M1" s="49" t="s">
        <v>8</v>
      </c>
      <c r="N1" s="50" t="s">
        <v>12</v>
      </c>
      <c r="O1" s="15"/>
    </row>
    <row r="2" spans="1:15" ht="15" thickBot="1" x14ac:dyDescent="0.35">
      <c r="A2" s="51">
        <v>2026</v>
      </c>
      <c r="B2" s="1">
        <v>4</v>
      </c>
      <c r="C2" s="9">
        <v>306</v>
      </c>
      <c r="D2" s="20">
        <v>46063</v>
      </c>
      <c r="E2" s="9">
        <v>4.3</v>
      </c>
      <c r="F2" s="12">
        <v>177</v>
      </c>
      <c r="G2" s="36" t="s">
        <v>15</v>
      </c>
      <c r="H2" s="8" t="s">
        <v>16</v>
      </c>
      <c r="I2" s="23"/>
      <c r="J2" s="8" t="s">
        <v>17</v>
      </c>
      <c r="K2" s="9"/>
      <c r="L2" s="9"/>
      <c r="M2" s="39"/>
      <c r="N2" s="33"/>
      <c r="O2" s="15"/>
    </row>
    <row r="3" spans="1:15" ht="15" thickBot="1" x14ac:dyDescent="0.35">
      <c r="A3" s="52">
        <f t="shared" ref="A3:B18" si="0">A2</f>
        <v>2026</v>
      </c>
      <c r="B3" s="1">
        <f t="shared" si="0"/>
        <v>4</v>
      </c>
      <c r="C3" s="8">
        <v>308</v>
      </c>
      <c r="D3" s="18"/>
      <c r="E3" s="8"/>
      <c r="F3" s="13"/>
      <c r="G3" s="36" t="s">
        <v>27</v>
      </c>
      <c r="H3" s="8"/>
      <c r="I3" s="24"/>
      <c r="J3" s="8"/>
      <c r="K3" s="8"/>
      <c r="L3" s="8"/>
      <c r="M3" s="40"/>
      <c r="N3" s="30"/>
      <c r="O3" s="15"/>
    </row>
    <row r="4" spans="1:15" ht="15" thickBot="1" x14ac:dyDescent="0.35">
      <c r="A4" s="52">
        <f t="shared" si="0"/>
        <v>2026</v>
      </c>
      <c r="B4" s="1">
        <f t="shared" si="0"/>
        <v>4</v>
      </c>
      <c r="C4" s="8">
        <v>311</v>
      </c>
      <c r="D4" s="18"/>
      <c r="E4" s="8"/>
      <c r="F4" s="13"/>
      <c r="G4" s="36" t="s">
        <v>27</v>
      </c>
      <c r="H4" s="8"/>
      <c r="I4" s="24"/>
      <c r="J4" s="8"/>
      <c r="K4" s="8"/>
      <c r="L4" s="8"/>
      <c r="M4" s="40"/>
      <c r="N4" s="30"/>
      <c r="O4" s="15"/>
    </row>
    <row r="5" spans="1:15" ht="15" thickBot="1" x14ac:dyDescent="0.35">
      <c r="A5" s="52">
        <f t="shared" si="0"/>
        <v>2026</v>
      </c>
      <c r="B5" s="1">
        <f t="shared" si="0"/>
        <v>4</v>
      </c>
      <c r="C5" s="8">
        <v>315</v>
      </c>
      <c r="D5" s="20"/>
      <c r="E5" s="9"/>
      <c r="F5" s="12"/>
      <c r="G5" s="36" t="s">
        <v>27</v>
      </c>
      <c r="H5" s="8"/>
      <c r="I5" s="23"/>
      <c r="J5" s="8"/>
      <c r="K5" s="9"/>
      <c r="L5" s="9"/>
      <c r="M5" s="41"/>
      <c r="N5" s="34"/>
      <c r="O5" s="15"/>
    </row>
    <row r="6" spans="1:15" ht="15" thickBot="1" x14ac:dyDescent="0.35">
      <c r="A6" s="52">
        <f t="shared" si="0"/>
        <v>2026</v>
      </c>
      <c r="B6" s="1">
        <f t="shared" si="0"/>
        <v>4</v>
      </c>
      <c r="C6" s="8">
        <v>322</v>
      </c>
      <c r="D6" s="18"/>
      <c r="E6" s="8"/>
      <c r="F6" s="13"/>
      <c r="G6" s="36" t="s">
        <v>27</v>
      </c>
      <c r="H6" s="8"/>
      <c r="I6" s="24"/>
      <c r="J6" s="8"/>
      <c r="K6" s="8"/>
      <c r="L6" s="8"/>
      <c r="M6" s="40"/>
      <c r="N6" s="30"/>
      <c r="O6" s="15"/>
    </row>
    <row r="7" spans="1:15" ht="15" thickBot="1" x14ac:dyDescent="0.35">
      <c r="A7" s="52">
        <f t="shared" si="0"/>
        <v>2026</v>
      </c>
      <c r="B7" s="1">
        <f t="shared" si="0"/>
        <v>4</v>
      </c>
      <c r="C7" s="8">
        <v>323</v>
      </c>
      <c r="D7" s="18"/>
      <c r="E7" s="8"/>
      <c r="F7" s="13"/>
      <c r="G7" s="36" t="s">
        <v>27</v>
      </c>
      <c r="H7" s="8"/>
      <c r="I7" s="24"/>
      <c r="J7" s="8"/>
      <c r="K7" s="8"/>
      <c r="L7" s="8"/>
      <c r="M7" s="40"/>
      <c r="N7" s="30"/>
      <c r="O7" s="15"/>
    </row>
    <row r="8" spans="1:15" ht="15" thickBot="1" x14ac:dyDescent="0.35">
      <c r="A8" s="52">
        <f t="shared" si="0"/>
        <v>2026</v>
      </c>
      <c r="B8" s="1">
        <f t="shared" si="0"/>
        <v>4</v>
      </c>
      <c r="C8" s="8">
        <v>327</v>
      </c>
      <c r="D8" s="18"/>
      <c r="E8" s="8"/>
      <c r="F8" s="13"/>
      <c r="G8" s="36" t="s">
        <v>27</v>
      </c>
      <c r="H8" s="8"/>
      <c r="I8" s="24"/>
      <c r="J8" s="8"/>
      <c r="K8" s="8"/>
      <c r="L8" s="8"/>
      <c r="M8" s="40"/>
      <c r="N8" s="30"/>
      <c r="O8" s="15"/>
    </row>
    <row r="9" spans="1:15" ht="15" thickBot="1" x14ac:dyDescent="0.35">
      <c r="A9" s="52">
        <f t="shared" si="0"/>
        <v>2026</v>
      </c>
      <c r="B9" s="1">
        <f t="shared" si="0"/>
        <v>4</v>
      </c>
      <c r="C9" s="8">
        <v>328</v>
      </c>
      <c r="D9" s="18"/>
      <c r="E9" s="8"/>
      <c r="F9" s="13"/>
      <c r="G9" s="36" t="s">
        <v>27</v>
      </c>
      <c r="H9" s="8"/>
      <c r="I9" s="24"/>
      <c r="J9" s="8"/>
      <c r="K9" s="8"/>
      <c r="L9" s="8"/>
      <c r="M9" s="40"/>
      <c r="N9" s="30"/>
      <c r="O9" s="15"/>
    </row>
    <row r="10" spans="1:15" ht="15" thickBot="1" x14ac:dyDescent="0.35">
      <c r="A10" s="52">
        <f t="shared" si="0"/>
        <v>2026</v>
      </c>
      <c r="B10" s="1">
        <f t="shared" si="0"/>
        <v>4</v>
      </c>
      <c r="C10" s="8">
        <v>329</v>
      </c>
      <c r="D10" s="18"/>
      <c r="E10" s="8"/>
      <c r="F10" s="13"/>
      <c r="G10" s="36" t="s">
        <v>27</v>
      </c>
      <c r="H10" s="8"/>
      <c r="I10" s="24"/>
      <c r="J10" s="8"/>
      <c r="K10" s="8"/>
      <c r="L10" s="8"/>
      <c r="M10" s="40"/>
      <c r="N10" s="30"/>
      <c r="O10" s="15"/>
    </row>
    <row r="11" spans="1:15" ht="15" thickBot="1" x14ac:dyDescent="0.35">
      <c r="A11" s="52">
        <f t="shared" si="0"/>
        <v>2026</v>
      </c>
      <c r="B11" s="1">
        <f t="shared" si="0"/>
        <v>4</v>
      </c>
      <c r="C11" s="8">
        <v>330</v>
      </c>
      <c r="D11" s="18"/>
      <c r="E11" s="8"/>
      <c r="F11" s="13"/>
      <c r="G11" s="36" t="s">
        <v>27</v>
      </c>
      <c r="H11" s="8"/>
      <c r="I11" s="24"/>
      <c r="J11" s="8"/>
      <c r="K11" s="8"/>
      <c r="L11" s="8"/>
      <c r="M11" s="40"/>
      <c r="N11" s="30"/>
      <c r="O11" s="15"/>
    </row>
    <row r="12" spans="1:15" ht="15" thickBot="1" x14ac:dyDescent="0.35">
      <c r="A12" s="52">
        <f t="shared" si="0"/>
        <v>2026</v>
      </c>
      <c r="B12" s="1">
        <f t="shared" si="0"/>
        <v>4</v>
      </c>
      <c r="C12" s="8">
        <v>335</v>
      </c>
      <c r="D12" s="20"/>
      <c r="E12" s="9"/>
      <c r="F12" s="12"/>
      <c r="G12" s="36" t="s">
        <v>27</v>
      </c>
      <c r="H12" s="9"/>
      <c r="I12" s="23"/>
      <c r="J12" s="9"/>
      <c r="K12" s="9"/>
      <c r="L12" s="9"/>
      <c r="M12" s="41"/>
      <c r="N12" s="34"/>
      <c r="O12" s="15"/>
    </row>
    <row r="13" spans="1:15" ht="15" thickBot="1" x14ac:dyDescent="0.35">
      <c r="A13" s="52">
        <f t="shared" si="0"/>
        <v>2026</v>
      </c>
      <c r="B13" s="1">
        <f t="shared" si="0"/>
        <v>4</v>
      </c>
      <c r="C13" s="8">
        <v>336</v>
      </c>
      <c r="D13" s="18"/>
      <c r="E13" s="8"/>
      <c r="F13" s="13"/>
      <c r="G13" s="36" t="s">
        <v>27</v>
      </c>
      <c r="H13" s="8"/>
      <c r="I13" s="24"/>
      <c r="J13" s="8"/>
      <c r="K13" s="8"/>
      <c r="L13" s="8"/>
      <c r="M13" s="40"/>
      <c r="N13" s="30"/>
      <c r="O13" s="15"/>
    </row>
    <row r="14" spans="1:15" ht="15" thickBot="1" x14ac:dyDescent="0.35">
      <c r="A14" s="52">
        <f t="shared" si="0"/>
        <v>2026</v>
      </c>
      <c r="B14" s="1">
        <f t="shared" si="0"/>
        <v>4</v>
      </c>
      <c r="C14" s="8">
        <v>338</v>
      </c>
      <c r="D14" s="18"/>
      <c r="E14" s="8"/>
      <c r="F14" s="13"/>
      <c r="G14" s="36" t="s">
        <v>27</v>
      </c>
      <c r="H14" s="8"/>
      <c r="I14" s="24"/>
      <c r="J14" s="8"/>
      <c r="K14" s="8"/>
      <c r="L14" s="8"/>
      <c r="M14" s="40"/>
      <c r="N14" s="30"/>
      <c r="O14" s="15"/>
    </row>
    <row r="15" spans="1:15" ht="15" thickBot="1" x14ac:dyDescent="0.35">
      <c r="A15" s="52">
        <f t="shared" si="0"/>
        <v>2026</v>
      </c>
      <c r="B15" s="1">
        <f t="shared" si="0"/>
        <v>4</v>
      </c>
      <c r="C15" s="1">
        <v>340</v>
      </c>
      <c r="D15" s="17"/>
      <c r="E15" s="8"/>
      <c r="F15" s="13"/>
      <c r="G15" s="36" t="s">
        <v>27</v>
      </c>
      <c r="H15" s="8"/>
      <c r="I15" s="24"/>
      <c r="J15" s="8"/>
      <c r="K15" s="8"/>
      <c r="L15" s="8"/>
      <c r="M15" s="40"/>
      <c r="N15" s="30"/>
      <c r="O15" s="15"/>
    </row>
    <row r="16" spans="1:15" ht="15" thickBot="1" x14ac:dyDescent="0.35">
      <c r="A16" s="52">
        <f t="shared" si="0"/>
        <v>2026</v>
      </c>
      <c r="B16" s="1">
        <f t="shared" si="0"/>
        <v>4</v>
      </c>
      <c r="C16" s="1">
        <v>342</v>
      </c>
      <c r="D16" s="17"/>
      <c r="E16" s="2"/>
      <c r="F16" s="10"/>
      <c r="G16" s="36" t="s">
        <v>27</v>
      </c>
      <c r="H16" s="1"/>
      <c r="I16" s="25"/>
      <c r="J16" s="8"/>
      <c r="K16" s="1"/>
      <c r="L16" s="1"/>
      <c r="M16" s="28"/>
      <c r="N16" s="31"/>
      <c r="O16" s="15"/>
    </row>
    <row r="17" spans="1:15" ht="15" thickBot="1" x14ac:dyDescent="0.35">
      <c r="A17" s="52">
        <f t="shared" si="0"/>
        <v>2026</v>
      </c>
      <c r="B17" s="1">
        <f t="shared" si="0"/>
        <v>4</v>
      </c>
      <c r="C17" s="1">
        <v>343</v>
      </c>
      <c r="D17" s="17"/>
      <c r="E17" s="2"/>
      <c r="F17" s="10"/>
      <c r="G17" s="36" t="s">
        <v>27</v>
      </c>
      <c r="H17" s="1"/>
      <c r="I17" s="25"/>
      <c r="J17" s="8"/>
      <c r="K17" s="1"/>
      <c r="L17" s="1"/>
      <c r="M17" s="28"/>
      <c r="N17" s="31"/>
      <c r="O17" s="15"/>
    </row>
    <row r="18" spans="1:15" ht="15" thickBot="1" x14ac:dyDescent="0.35">
      <c r="A18" s="52">
        <f t="shared" si="0"/>
        <v>2026</v>
      </c>
      <c r="B18" s="1">
        <f t="shared" si="0"/>
        <v>4</v>
      </c>
      <c r="C18" s="1">
        <v>344</v>
      </c>
      <c r="D18" s="17"/>
      <c r="E18" s="2"/>
      <c r="F18" s="10"/>
      <c r="G18" s="36" t="s">
        <v>27</v>
      </c>
      <c r="H18" s="1"/>
      <c r="I18" s="25"/>
      <c r="J18" s="8"/>
      <c r="K18" s="1"/>
      <c r="L18" s="1"/>
      <c r="M18" s="28"/>
      <c r="N18" s="31"/>
      <c r="O18" s="15"/>
    </row>
    <row r="19" spans="1:15" ht="15" thickBot="1" x14ac:dyDescent="0.35">
      <c r="A19" s="52">
        <f t="shared" ref="A19:B34" si="1">A18</f>
        <v>2026</v>
      </c>
      <c r="B19" s="1">
        <f t="shared" si="1"/>
        <v>4</v>
      </c>
      <c r="C19" s="1">
        <v>345</v>
      </c>
      <c r="D19" s="17"/>
      <c r="E19" s="2"/>
      <c r="F19" s="10"/>
      <c r="G19" s="36" t="s">
        <v>27</v>
      </c>
      <c r="H19" s="1"/>
      <c r="I19" s="25"/>
      <c r="J19" s="8"/>
      <c r="K19" s="1"/>
      <c r="L19" s="1"/>
      <c r="M19" s="28"/>
      <c r="N19" s="31"/>
      <c r="O19" s="15"/>
    </row>
    <row r="20" spans="1:15" ht="15" thickBot="1" x14ac:dyDescent="0.35">
      <c r="A20" s="52">
        <f t="shared" si="1"/>
        <v>2026</v>
      </c>
      <c r="B20" s="1">
        <f t="shared" si="1"/>
        <v>4</v>
      </c>
      <c r="C20" s="1">
        <v>346</v>
      </c>
      <c r="D20" s="17"/>
      <c r="E20" s="2"/>
      <c r="F20" s="10"/>
      <c r="G20" s="36" t="s">
        <v>27</v>
      </c>
      <c r="H20" s="1"/>
      <c r="I20" s="25"/>
      <c r="J20" s="8"/>
      <c r="K20" s="1"/>
      <c r="L20" s="1"/>
      <c r="M20" s="28"/>
      <c r="N20" s="31"/>
      <c r="O20" s="15"/>
    </row>
    <row r="21" spans="1:15" ht="15" thickBot="1" x14ac:dyDescent="0.35">
      <c r="A21" s="52">
        <f t="shared" si="1"/>
        <v>2026</v>
      </c>
      <c r="B21" s="1">
        <f t="shared" si="1"/>
        <v>4</v>
      </c>
      <c r="C21" s="1">
        <v>347</v>
      </c>
      <c r="D21" s="17"/>
      <c r="E21" s="2"/>
      <c r="F21" s="10"/>
      <c r="G21" s="36" t="s">
        <v>27</v>
      </c>
      <c r="H21" s="1"/>
      <c r="I21" s="25"/>
      <c r="J21" s="8"/>
      <c r="K21" s="1"/>
      <c r="L21" s="1"/>
      <c r="M21" s="28"/>
      <c r="N21" s="31"/>
      <c r="O21" s="15"/>
    </row>
    <row r="22" spans="1:15" ht="15" thickBot="1" x14ac:dyDescent="0.35">
      <c r="A22" s="52">
        <f t="shared" si="1"/>
        <v>2026</v>
      </c>
      <c r="B22" s="1">
        <f t="shared" si="1"/>
        <v>4</v>
      </c>
      <c r="C22" s="1">
        <v>348</v>
      </c>
      <c r="D22" s="17"/>
      <c r="E22" s="2"/>
      <c r="F22" s="10"/>
      <c r="G22" s="36" t="s">
        <v>27</v>
      </c>
      <c r="H22" s="1"/>
      <c r="I22" s="25"/>
      <c r="J22" s="8"/>
      <c r="K22" s="1"/>
      <c r="L22" s="1"/>
      <c r="M22" s="28"/>
      <c r="N22" s="31"/>
      <c r="O22" s="15"/>
    </row>
    <row r="23" spans="1:15" ht="15" thickBot="1" x14ac:dyDescent="0.35">
      <c r="A23" s="52">
        <f t="shared" si="1"/>
        <v>2026</v>
      </c>
      <c r="B23" s="1">
        <f t="shared" si="1"/>
        <v>4</v>
      </c>
      <c r="C23" s="1">
        <v>349</v>
      </c>
      <c r="D23" s="17"/>
      <c r="E23" s="2"/>
      <c r="F23" s="10"/>
      <c r="G23" s="36" t="s">
        <v>27</v>
      </c>
      <c r="H23" s="1"/>
      <c r="I23" s="25"/>
      <c r="J23" s="1"/>
      <c r="K23" s="1"/>
      <c r="L23" s="1"/>
      <c r="M23" s="28"/>
      <c r="N23" s="31"/>
      <c r="O23" s="15"/>
    </row>
    <row r="24" spans="1:15" ht="15" thickBot="1" x14ac:dyDescent="0.35">
      <c r="A24" s="52">
        <f t="shared" si="1"/>
        <v>2026</v>
      </c>
      <c r="B24" s="1">
        <f t="shared" si="1"/>
        <v>4</v>
      </c>
      <c r="C24" s="1">
        <v>401</v>
      </c>
      <c r="D24" s="53"/>
      <c r="E24" s="2"/>
      <c r="F24" s="10"/>
      <c r="G24" s="36" t="s">
        <v>27</v>
      </c>
      <c r="H24" s="1"/>
      <c r="I24" s="25"/>
      <c r="J24" s="8"/>
      <c r="K24" s="1"/>
      <c r="L24" s="1"/>
      <c r="M24" s="28"/>
      <c r="N24" s="31"/>
      <c r="O24" s="15"/>
    </row>
    <row r="25" spans="1:15" ht="15" thickBot="1" x14ac:dyDescent="0.35">
      <c r="A25" s="52">
        <f t="shared" si="1"/>
        <v>2026</v>
      </c>
      <c r="B25" s="1">
        <f t="shared" si="1"/>
        <v>4</v>
      </c>
      <c r="C25" s="8">
        <v>404</v>
      </c>
      <c r="D25" s="18"/>
      <c r="E25" s="2"/>
      <c r="F25" s="10"/>
      <c r="G25" s="36" t="s">
        <v>27</v>
      </c>
      <c r="H25" s="1"/>
      <c r="I25" s="25"/>
      <c r="J25" s="8"/>
      <c r="K25" s="1"/>
      <c r="L25" s="1"/>
      <c r="M25" s="28"/>
      <c r="N25" s="31"/>
      <c r="O25" s="15"/>
    </row>
    <row r="26" spans="1:15" ht="15" thickBot="1" x14ac:dyDescent="0.35">
      <c r="A26" s="52">
        <f t="shared" si="1"/>
        <v>2026</v>
      </c>
      <c r="B26" s="1">
        <f t="shared" si="1"/>
        <v>4</v>
      </c>
      <c r="C26" s="1">
        <v>405</v>
      </c>
      <c r="D26" s="17"/>
      <c r="E26" s="2"/>
      <c r="F26" s="10"/>
      <c r="G26" s="36" t="s">
        <v>27</v>
      </c>
      <c r="H26" s="1"/>
      <c r="I26" s="25"/>
      <c r="J26" s="1"/>
      <c r="K26" s="1"/>
      <c r="L26" s="1"/>
      <c r="M26" s="28"/>
      <c r="N26" s="31"/>
      <c r="O26" s="15"/>
    </row>
    <row r="27" spans="1:15" ht="15" thickBot="1" x14ac:dyDescent="0.35">
      <c r="A27" s="52">
        <f t="shared" si="1"/>
        <v>2026</v>
      </c>
      <c r="B27" s="1">
        <f t="shared" si="1"/>
        <v>4</v>
      </c>
      <c r="C27" s="1">
        <v>411</v>
      </c>
      <c r="D27" s="17"/>
      <c r="E27" s="2"/>
      <c r="F27" s="10"/>
      <c r="G27" s="36" t="s">
        <v>27</v>
      </c>
      <c r="H27" s="1"/>
      <c r="I27" s="25"/>
      <c r="J27" s="1"/>
      <c r="K27" s="1"/>
      <c r="L27" s="1"/>
      <c r="M27" s="28"/>
      <c r="N27" s="31"/>
      <c r="O27" s="15"/>
    </row>
    <row r="28" spans="1:15" ht="15" thickBot="1" x14ac:dyDescent="0.35">
      <c r="A28" s="52">
        <f t="shared" si="1"/>
        <v>2026</v>
      </c>
      <c r="B28" s="1">
        <f t="shared" si="1"/>
        <v>4</v>
      </c>
      <c r="C28" s="1">
        <v>418</v>
      </c>
      <c r="D28" s="17"/>
      <c r="E28" s="2"/>
      <c r="F28" s="10"/>
      <c r="G28" s="36" t="s">
        <v>27</v>
      </c>
      <c r="H28" s="1"/>
      <c r="I28" s="25"/>
      <c r="J28" s="1"/>
      <c r="K28" s="1"/>
      <c r="L28" s="1"/>
      <c r="M28" s="28"/>
      <c r="N28" s="31"/>
      <c r="O28" s="15"/>
    </row>
    <row r="29" spans="1:15" ht="15" thickBot="1" x14ac:dyDescent="0.35">
      <c r="A29" s="52">
        <f t="shared" si="1"/>
        <v>2026</v>
      </c>
      <c r="B29" s="1">
        <f t="shared" si="1"/>
        <v>4</v>
      </c>
      <c r="C29" s="1">
        <v>501</v>
      </c>
      <c r="D29" s="17"/>
      <c r="E29" s="2"/>
      <c r="F29" s="10"/>
      <c r="G29" s="36" t="s">
        <v>27</v>
      </c>
      <c r="H29" s="1"/>
      <c r="I29" s="25"/>
      <c r="J29" s="1"/>
      <c r="K29" s="1"/>
      <c r="L29" s="1"/>
      <c r="M29" s="28"/>
      <c r="N29" s="31"/>
      <c r="O29" s="15"/>
    </row>
    <row r="30" spans="1:15" ht="15" thickBot="1" x14ac:dyDescent="0.35">
      <c r="A30" s="52">
        <f t="shared" si="1"/>
        <v>2026</v>
      </c>
      <c r="B30" s="1">
        <f t="shared" si="1"/>
        <v>4</v>
      </c>
      <c r="C30" s="1">
        <v>504</v>
      </c>
      <c r="D30" s="17"/>
      <c r="E30" s="2"/>
      <c r="F30" s="10"/>
      <c r="G30" s="36" t="s">
        <v>27</v>
      </c>
      <c r="H30" s="1"/>
      <c r="I30" s="25"/>
      <c r="J30" s="1"/>
      <c r="K30" s="1"/>
      <c r="L30" s="1"/>
      <c r="M30" s="28"/>
      <c r="N30" s="31"/>
      <c r="O30" s="15"/>
    </row>
    <row r="31" spans="1:15" ht="15" thickBot="1" x14ac:dyDescent="0.35">
      <c r="A31" s="52">
        <f t="shared" si="1"/>
        <v>2026</v>
      </c>
      <c r="B31" s="1">
        <f t="shared" si="1"/>
        <v>4</v>
      </c>
      <c r="C31" s="1">
        <v>508</v>
      </c>
      <c r="D31" s="17"/>
      <c r="E31" s="2"/>
      <c r="F31" s="10"/>
      <c r="G31" s="36" t="s">
        <v>27</v>
      </c>
      <c r="H31" s="1"/>
      <c r="I31" s="38"/>
      <c r="J31" s="54"/>
      <c r="K31" s="1"/>
      <c r="L31" s="1"/>
      <c r="M31" s="2"/>
      <c r="N31" s="31"/>
      <c r="O31" s="15"/>
    </row>
    <row r="32" spans="1:15" ht="15" thickBot="1" x14ac:dyDescent="0.35">
      <c r="A32" s="52">
        <f t="shared" si="1"/>
        <v>2026</v>
      </c>
      <c r="B32" s="1">
        <f t="shared" si="1"/>
        <v>4</v>
      </c>
      <c r="C32" s="1">
        <v>513</v>
      </c>
      <c r="D32" s="17"/>
      <c r="E32" s="2"/>
      <c r="F32" s="10"/>
      <c r="G32" s="36" t="s">
        <v>27</v>
      </c>
      <c r="H32" s="1"/>
      <c r="I32" s="38"/>
      <c r="J32" s="55"/>
      <c r="K32" s="1"/>
      <c r="L32" s="1"/>
      <c r="M32" s="2"/>
      <c r="N32" s="31"/>
      <c r="O32" s="14"/>
    </row>
    <row r="33" spans="1:15" ht="15" thickBot="1" x14ac:dyDescent="0.35">
      <c r="A33" s="52">
        <f t="shared" si="1"/>
        <v>2026</v>
      </c>
      <c r="B33" s="1">
        <f t="shared" si="1"/>
        <v>4</v>
      </c>
      <c r="C33" s="1">
        <v>519</v>
      </c>
      <c r="D33" s="17">
        <v>46062</v>
      </c>
      <c r="E33" s="2">
        <v>16.100000000000001</v>
      </c>
      <c r="F33" s="10">
        <v>38</v>
      </c>
      <c r="G33" s="36" t="s">
        <v>15</v>
      </c>
      <c r="H33" s="1" t="s">
        <v>19</v>
      </c>
      <c r="I33" s="25">
        <v>89</v>
      </c>
      <c r="J33" s="1" t="s">
        <v>17</v>
      </c>
      <c r="K33" s="1">
        <v>5</v>
      </c>
      <c r="L33" s="1">
        <v>10</v>
      </c>
      <c r="M33" s="28"/>
      <c r="N33" s="31">
        <v>44</v>
      </c>
      <c r="O33" s="15"/>
    </row>
    <row r="34" spans="1:15" ht="15" thickBot="1" x14ac:dyDescent="0.35">
      <c r="A34" s="52">
        <f t="shared" si="1"/>
        <v>2026</v>
      </c>
      <c r="B34" s="1">
        <f t="shared" si="1"/>
        <v>4</v>
      </c>
      <c r="C34" s="1">
        <v>520</v>
      </c>
      <c r="D34" s="17"/>
      <c r="E34" s="2"/>
      <c r="F34" s="10"/>
      <c r="G34" s="36" t="s">
        <v>27</v>
      </c>
      <c r="H34" s="1"/>
      <c r="I34" s="25"/>
      <c r="J34" s="1"/>
      <c r="K34" s="1"/>
      <c r="L34" s="1"/>
      <c r="M34" s="28"/>
      <c r="N34" s="31"/>
      <c r="O34" s="15"/>
    </row>
    <row r="35" spans="1:15" ht="15" thickBot="1" x14ac:dyDescent="0.35">
      <c r="A35" s="52">
        <f t="shared" ref="A35:B50" si="2">A34</f>
        <v>2026</v>
      </c>
      <c r="B35" s="1">
        <f t="shared" si="2"/>
        <v>4</v>
      </c>
      <c r="C35" s="1">
        <v>602</v>
      </c>
      <c r="D35" s="17"/>
      <c r="E35" s="2"/>
      <c r="F35" s="10"/>
      <c r="G35" s="36" t="s">
        <v>27</v>
      </c>
      <c r="H35" s="1"/>
      <c r="I35" s="25"/>
      <c r="J35" s="1"/>
      <c r="K35" s="1"/>
      <c r="L35" s="1"/>
      <c r="M35" s="28"/>
      <c r="N35" s="31"/>
      <c r="O35" s="15"/>
    </row>
    <row r="36" spans="1:15" x14ac:dyDescent="0.3">
      <c r="A36" s="52">
        <f t="shared" si="2"/>
        <v>2026</v>
      </c>
      <c r="B36" s="1">
        <f t="shared" si="2"/>
        <v>4</v>
      </c>
      <c r="C36" s="1">
        <v>606</v>
      </c>
      <c r="D36" s="17"/>
      <c r="E36" s="2"/>
      <c r="F36" s="10"/>
      <c r="G36" s="36" t="s">
        <v>27</v>
      </c>
      <c r="H36" s="1"/>
      <c r="I36" s="25"/>
      <c r="J36" s="1"/>
      <c r="K36" s="1"/>
      <c r="L36" s="1"/>
      <c r="M36" s="28"/>
      <c r="N36" s="31"/>
      <c r="O36" s="14"/>
    </row>
    <row r="37" spans="1:15" x14ac:dyDescent="0.3">
      <c r="A37" s="52">
        <f t="shared" si="2"/>
        <v>2026</v>
      </c>
      <c r="B37" s="1">
        <f t="shared" si="2"/>
        <v>4</v>
      </c>
      <c r="C37" s="1">
        <v>609</v>
      </c>
      <c r="D37" s="17"/>
      <c r="E37" s="2"/>
      <c r="F37" s="10"/>
      <c r="G37" s="36" t="s">
        <v>27</v>
      </c>
      <c r="H37" s="1"/>
      <c r="I37" s="38"/>
      <c r="J37" s="1"/>
      <c r="K37" s="1"/>
      <c r="L37" s="1"/>
      <c r="M37" s="28"/>
      <c r="N37" s="31"/>
      <c r="O37" s="14"/>
    </row>
    <row r="38" spans="1:15" x14ac:dyDescent="0.3">
      <c r="A38" s="52">
        <f t="shared" si="2"/>
        <v>2026</v>
      </c>
      <c r="B38" s="1">
        <f t="shared" si="2"/>
        <v>4</v>
      </c>
      <c r="C38" s="1">
        <v>610</v>
      </c>
      <c r="D38" s="17">
        <v>46064</v>
      </c>
      <c r="E38" s="2">
        <v>10.199999999999999</v>
      </c>
      <c r="F38" s="10">
        <v>67</v>
      </c>
      <c r="G38" s="36" t="s">
        <v>15</v>
      </c>
      <c r="H38" s="1" t="s">
        <v>19</v>
      </c>
      <c r="I38" s="38">
        <v>14</v>
      </c>
      <c r="J38" s="1" t="s">
        <v>17</v>
      </c>
      <c r="K38" s="1">
        <v>6</v>
      </c>
      <c r="L38" s="1">
        <v>8</v>
      </c>
      <c r="M38" s="28"/>
      <c r="N38" s="31">
        <v>10</v>
      </c>
      <c r="O38" s="14"/>
    </row>
    <row r="39" spans="1:15" x14ac:dyDescent="0.3">
      <c r="A39" s="52">
        <f t="shared" si="2"/>
        <v>2026</v>
      </c>
      <c r="B39" s="1">
        <f t="shared" si="2"/>
        <v>4</v>
      </c>
      <c r="C39" s="1">
        <v>703</v>
      </c>
      <c r="D39" s="17"/>
      <c r="E39" s="2"/>
      <c r="F39" s="10"/>
      <c r="G39" s="36" t="s">
        <v>27</v>
      </c>
      <c r="H39" s="1"/>
      <c r="I39" s="25"/>
      <c r="J39" s="1"/>
      <c r="K39" s="1"/>
      <c r="L39" s="1"/>
      <c r="M39" s="28"/>
      <c r="N39" s="31"/>
    </row>
    <row r="40" spans="1:15" x14ac:dyDescent="0.3">
      <c r="A40" s="52">
        <f t="shared" si="2"/>
        <v>2026</v>
      </c>
      <c r="B40" s="1">
        <f t="shared" si="2"/>
        <v>4</v>
      </c>
      <c r="C40" s="1">
        <v>704</v>
      </c>
      <c r="D40" s="17"/>
      <c r="E40" s="2"/>
      <c r="F40" s="10"/>
      <c r="G40" s="36" t="s">
        <v>27</v>
      </c>
      <c r="H40" s="1"/>
      <c r="I40" s="25"/>
      <c r="J40" s="1"/>
      <c r="K40" s="1"/>
      <c r="L40" s="1"/>
      <c r="M40" s="28"/>
      <c r="N40" s="31"/>
      <c r="O40" s="14"/>
    </row>
    <row r="41" spans="1:15" x14ac:dyDescent="0.3">
      <c r="A41" s="52">
        <f t="shared" si="2"/>
        <v>2026</v>
      </c>
      <c r="B41" s="1">
        <f t="shared" si="2"/>
        <v>4</v>
      </c>
      <c r="C41" s="1">
        <v>705</v>
      </c>
      <c r="D41" s="17">
        <v>46063</v>
      </c>
      <c r="E41" s="2">
        <v>4.2</v>
      </c>
      <c r="F41" s="10">
        <v>200</v>
      </c>
      <c r="G41" s="36" t="s">
        <v>15</v>
      </c>
      <c r="H41" s="1" t="s">
        <v>19</v>
      </c>
      <c r="I41" s="25">
        <v>3</v>
      </c>
      <c r="J41" s="1" t="s">
        <v>17</v>
      </c>
      <c r="K41" s="1">
        <v>7</v>
      </c>
      <c r="L41" s="1">
        <v>7</v>
      </c>
      <c r="M41" s="28">
        <v>7</v>
      </c>
      <c r="N41" s="31">
        <v>0</v>
      </c>
      <c r="O41" s="14"/>
    </row>
    <row r="42" spans="1:15" x14ac:dyDescent="0.3">
      <c r="A42" s="52">
        <f t="shared" si="2"/>
        <v>2026</v>
      </c>
      <c r="B42" s="1">
        <f t="shared" si="2"/>
        <v>4</v>
      </c>
      <c r="C42" s="1">
        <v>706</v>
      </c>
      <c r="D42" s="17">
        <v>46063</v>
      </c>
      <c r="E42" s="2">
        <v>6.2</v>
      </c>
      <c r="F42" s="10">
        <v>125</v>
      </c>
      <c r="G42" s="36" t="s">
        <v>15</v>
      </c>
      <c r="H42" s="1" t="s">
        <v>19</v>
      </c>
      <c r="I42" s="25">
        <v>21</v>
      </c>
      <c r="J42" s="1" t="s">
        <v>17</v>
      </c>
      <c r="K42" s="1">
        <v>7</v>
      </c>
      <c r="L42" s="1">
        <v>8</v>
      </c>
      <c r="M42" s="28"/>
      <c r="N42" s="31">
        <v>9</v>
      </c>
      <c r="O42" s="14"/>
    </row>
    <row r="43" spans="1:15" x14ac:dyDescent="0.3">
      <c r="A43" s="52">
        <f t="shared" si="2"/>
        <v>2026</v>
      </c>
      <c r="B43" s="1">
        <f t="shared" si="2"/>
        <v>4</v>
      </c>
      <c r="C43" s="1">
        <v>707</v>
      </c>
      <c r="D43" s="17">
        <v>46063</v>
      </c>
      <c r="E43" s="2">
        <v>6</v>
      </c>
      <c r="F43" s="10">
        <v>135</v>
      </c>
      <c r="G43" s="36" t="s">
        <v>15</v>
      </c>
      <c r="H43" s="1" t="s">
        <v>19</v>
      </c>
      <c r="I43" s="25">
        <v>58</v>
      </c>
      <c r="J43" s="1" t="s">
        <v>17</v>
      </c>
      <c r="K43" s="1">
        <v>5</v>
      </c>
      <c r="L43" s="1">
        <v>8</v>
      </c>
      <c r="M43" s="28"/>
      <c r="N43" s="31">
        <v>6</v>
      </c>
      <c r="O43" s="14"/>
    </row>
    <row r="44" spans="1:15" ht="15" thickBot="1" x14ac:dyDescent="0.35">
      <c r="A44" s="52">
        <f t="shared" si="2"/>
        <v>2026</v>
      </c>
      <c r="B44" s="1">
        <f t="shared" si="2"/>
        <v>4</v>
      </c>
      <c r="C44" s="1">
        <v>711</v>
      </c>
      <c r="D44" s="17"/>
      <c r="E44" s="2"/>
      <c r="F44" s="10"/>
      <c r="G44" s="36" t="s">
        <v>27</v>
      </c>
      <c r="H44" s="1"/>
      <c r="I44" s="25"/>
      <c r="J44" s="1"/>
      <c r="K44" s="1"/>
      <c r="L44" s="1"/>
      <c r="M44" s="28"/>
      <c r="N44" s="31"/>
      <c r="O44" s="14"/>
    </row>
    <row r="45" spans="1:15" ht="15" thickBot="1" x14ac:dyDescent="0.35">
      <c r="A45" s="52">
        <f t="shared" si="2"/>
        <v>2026</v>
      </c>
      <c r="B45" s="1">
        <f t="shared" si="2"/>
        <v>4</v>
      </c>
      <c r="C45" s="1">
        <v>716</v>
      </c>
      <c r="D45" s="17"/>
      <c r="E45" s="2"/>
      <c r="F45" s="10"/>
      <c r="G45" s="36" t="s">
        <v>27</v>
      </c>
      <c r="H45" s="1"/>
      <c r="I45" s="25"/>
      <c r="J45" s="1"/>
      <c r="K45" s="1"/>
      <c r="L45" s="1"/>
      <c r="M45" s="28"/>
      <c r="N45" s="31"/>
      <c r="O45" s="77"/>
    </row>
    <row r="46" spans="1:15" x14ac:dyDescent="0.3">
      <c r="A46" s="52">
        <f t="shared" si="2"/>
        <v>2026</v>
      </c>
      <c r="B46" s="1">
        <f t="shared" si="2"/>
        <v>4</v>
      </c>
      <c r="C46" s="1">
        <v>723</v>
      </c>
      <c r="D46" s="17"/>
      <c r="E46" s="2"/>
      <c r="F46" s="10"/>
      <c r="G46" s="36" t="s">
        <v>27</v>
      </c>
      <c r="H46" s="1"/>
      <c r="I46" s="25"/>
      <c r="J46" s="1"/>
      <c r="K46" s="1"/>
      <c r="L46" s="1"/>
      <c r="M46" s="28"/>
      <c r="N46" s="31"/>
      <c r="O46" s="14"/>
    </row>
    <row r="47" spans="1:15" x14ac:dyDescent="0.3">
      <c r="A47" s="52">
        <f t="shared" si="2"/>
        <v>2026</v>
      </c>
      <c r="B47" s="1">
        <f t="shared" si="2"/>
        <v>4</v>
      </c>
      <c r="C47" s="1">
        <v>801</v>
      </c>
      <c r="D47" s="17"/>
      <c r="E47" s="2"/>
      <c r="F47" s="10"/>
      <c r="G47" s="36" t="s">
        <v>27</v>
      </c>
      <c r="H47" s="1"/>
      <c r="I47" s="25"/>
      <c r="J47" s="1"/>
      <c r="K47" s="1"/>
      <c r="L47" s="1"/>
      <c r="M47" s="28"/>
      <c r="N47" s="31"/>
      <c r="O47" s="7"/>
    </row>
    <row r="48" spans="1:15" ht="15" thickBot="1" x14ac:dyDescent="0.35">
      <c r="A48" s="52">
        <f t="shared" si="2"/>
        <v>2026</v>
      </c>
      <c r="B48" s="1">
        <f t="shared" si="2"/>
        <v>4</v>
      </c>
      <c r="C48" s="1">
        <v>804</v>
      </c>
      <c r="D48" s="17">
        <v>46063</v>
      </c>
      <c r="E48" s="2">
        <v>8.6</v>
      </c>
      <c r="F48" s="10">
        <v>121</v>
      </c>
      <c r="G48" s="36" t="s">
        <v>15</v>
      </c>
      <c r="H48" s="1" t="s">
        <v>19</v>
      </c>
      <c r="I48" s="25">
        <v>12</v>
      </c>
      <c r="J48" s="1" t="s">
        <v>17</v>
      </c>
      <c r="K48" s="1">
        <v>6</v>
      </c>
      <c r="L48" s="1">
        <v>8</v>
      </c>
      <c r="M48" s="28"/>
      <c r="N48" s="31">
        <v>0</v>
      </c>
      <c r="O48" s="14"/>
    </row>
    <row r="49" spans="1:15" x14ac:dyDescent="0.3">
      <c r="A49" s="74">
        <f t="shared" si="2"/>
        <v>2026</v>
      </c>
      <c r="B49" s="44">
        <f t="shared" si="2"/>
        <v>4</v>
      </c>
      <c r="C49" s="45">
        <v>809</v>
      </c>
      <c r="D49" s="19">
        <v>46062</v>
      </c>
      <c r="E49" s="4">
        <v>7.8</v>
      </c>
      <c r="F49" s="11">
        <v>113</v>
      </c>
      <c r="G49" s="37" t="s">
        <v>15</v>
      </c>
      <c r="H49" s="3" t="s">
        <v>19</v>
      </c>
      <c r="I49" s="26">
        <v>11</v>
      </c>
      <c r="J49" s="3" t="s">
        <v>17</v>
      </c>
      <c r="K49" s="3">
        <v>6</v>
      </c>
      <c r="L49" s="3">
        <v>7</v>
      </c>
      <c r="M49" s="29">
        <v>6.4</v>
      </c>
      <c r="N49" s="32">
        <v>11</v>
      </c>
      <c r="O49" s="96" t="s">
        <v>14</v>
      </c>
    </row>
    <row r="50" spans="1:15" x14ac:dyDescent="0.3">
      <c r="A50" s="74">
        <f t="shared" si="2"/>
        <v>2026</v>
      </c>
      <c r="B50" s="44">
        <f t="shared" si="2"/>
        <v>4</v>
      </c>
      <c r="C50" s="45">
        <v>812</v>
      </c>
      <c r="D50" s="19">
        <v>46062</v>
      </c>
      <c r="E50" s="4">
        <v>7.2</v>
      </c>
      <c r="F50" s="11">
        <v>118</v>
      </c>
      <c r="G50" s="37" t="s">
        <v>15</v>
      </c>
      <c r="H50" s="3" t="s">
        <v>19</v>
      </c>
      <c r="I50" s="26">
        <v>9</v>
      </c>
      <c r="J50" s="3" t="s">
        <v>17</v>
      </c>
      <c r="K50" s="3">
        <v>6</v>
      </c>
      <c r="L50" s="3">
        <v>9</v>
      </c>
      <c r="M50" s="29">
        <v>7.2</v>
      </c>
      <c r="N50" s="32">
        <v>4</v>
      </c>
      <c r="O50" s="97"/>
    </row>
    <row r="51" spans="1:15" x14ac:dyDescent="0.3">
      <c r="A51" s="52">
        <f t="shared" ref="A51:B60" si="3">A50</f>
        <v>2026</v>
      </c>
      <c r="B51" s="1">
        <f t="shared" si="3"/>
        <v>4</v>
      </c>
      <c r="C51" s="1">
        <v>815</v>
      </c>
      <c r="D51" s="17">
        <v>46062</v>
      </c>
      <c r="E51" s="2">
        <v>5.6</v>
      </c>
      <c r="F51" s="10">
        <v>133</v>
      </c>
      <c r="G51" s="36" t="s">
        <v>15</v>
      </c>
      <c r="H51" s="1" t="s">
        <v>19</v>
      </c>
      <c r="I51" s="25">
        <v>3</v>
      </c>
      <c r="J51" s="1" t="s">
        <v>17</v>
      </c>
      <c r="K51" s="1">
        <v>7</v>
      </c>
      <c r="L51" s="1">
        <v>8</v>
      </c>
      <c r="M51" s="28">
        <v>7.3</v>
      </c>
      <c r="N51" s="31">
        <v>0</v>
      </c>
      <c r="O51" s="66"/>
    </row>
    <row r="52" spans="1:15" x14ac:dyDescent="0.3">
      <c r="A52" s="52">
        <f t="shared" si="3"/>
        <v>2026</v>
      </c>
      <c r="B52" s="1">
        <f t="shared" si="3"/>
        <v>4</v>
      </c>
      <c r="C52" s="1">
        <v>901</v>
      </c>
      <c r="D52" s="17">
        <v>46062</v>
      </c>
      <c r="E52" s="2">
        <v>5.4</v>
      </c>
      <c r="F52" s="10">
        <v>143</v>
      </c>
      <c r="G52" s="36" t="s">
        <v>15</v>
      </c>
      <c r="H52" s="1" t="s">
        <v>19</v>
      </c>
      <c r="I52" s="10">
        <v>3</v>
      </c>
      <c r="J52" s="1" t="s">
        <v>17</v>
      </c>
      <c r="K52" s="1">
        <v>7</v>
      </c>
      <c r="L52" s="1">
        <v>8</v>
      </c>
      <c r="M52" s="28">
        <v>7.7</v>
      </c>
      <c r="N52" s="31">
        <v>0</v>
      </c>
      <c r="O52" s="66"/>
    </row>
    <row r="53" spans="1:15" x14ac:dyDescent="0.3">
      <c r="A53" s="52">
        <f t="shared" si="3"/>
        <v>2026</v>
      </c>
      <c r="B53" s="1">
        <f t="shared" si="3"/>
        <v>4</v>
      </c>
      <c r="C53" s="1">
        <v>902</v>
      </c>
      <c r="D53" s="17">
        <v>46062</v>
      </c>
      <c r="E53" s="2">
        <v>5.6</v>
      </c>
      <c r="F53" s="10">
        <v>140</v>
      </c>
      <c r="G53" s="36" t="s">
        <v>15</v>
      </c>
      <c r="H53" s="1" t="s">
        <v>16</v>
      </c>
      <c r="I53" s="10"/>
      <c r="J53" s="1" t="s">
        <v>17</v>
      </c>
      <c r="K53" s="1"/>
      <c r="L53" s="1"/>
      <c r="M53" s="28"/>
      <c r="N53" s="31"/>
      <c r="O53" s="66"/>
    </row>
    <row r="54" spans="1:15" x14ac:dyDescent="0.3">
      <c r="A54" s="52">
        <f t="shared" si="3"/>
        <v>2026</v>
      </c>
      <c r="B54" s="1">
        <f t="shared" si="3"/>
        <v>4</v>
      </c>
      <c r="C54" s="1">
        <v>906</v>
      </c>
      <c r="D54" s="17">
        <v>46062</v>
      </c>
      <c r="E54" s="2">
        <v>3.9</v>
      </c>
      <c r="F54" s="10">
        <v>180</v>
      </c>
      <c r="G54" s="36" t="s">
        <v>15</v>
      </c>
      <c r="H54" s="1" t="s">
        <v>16</v>
      </c>
      <c r="I54" s="10"/>
      <c r="J54" s="1" t="s">
        <v>17</v>
      </c>
      <c r="K54" s="1"/>
      <c r="L54" s="1"/>
      <c r="M54" s="28"/>
      <c r="N54" s="31"/>
      <c r="O54" s="66"/>
    </row>
    <row r="55" spans="1:15" x14ac:dyDescent="0.3">
      <c r="A55" s="52">
        <f t="shared" si="3"/>
        <v>2026</v>
      </c>
      <c r="B55" s="1">
        <f t="shared" si="3"/>
        <v>4</v>
      </c>
      <c r="C55" s="1">
        <v>910</v>
      </c>
      <c r="D55" s="17">
        <v>46062</v>
      </c>
      <c r="E55" s="2">
        <v>4.9000000000000004</v>
      </c>
      <c r="F55" s="10">
        <v>118</v>
      </c>
      <c r="G55" s="36" t="s">
        <v>15</v>
      </c>
      <c r="H55" s="1" t="s">
        <v>16</v>
      </c>
      <c r="I55" s="10"/>
      <c r="J55" s="1" t="s">
        <v>17</v>
      </c>
      <c r="K55" s="1"/>
      <c r="L55" s="1"/>
      <c r="M55" s="28"/>
      <c r="N55" s="31"/>
      <c r="O55" s="66"/>
    </row>
    <row r="56" spans="1:15" x14ac:dyDescent="0.3">
      <c r="A56" s="52">
        <f t="shared" si="3"/>
        <v>2026</v>
      </c>
      <c r="B56" s="1">
        <f t="shared" si="3"/>
        <v>4</v>
      </c>
      <c r="C56" s="1">
        <v>912</v>
      </c>
      <c r="D56" s="17">
        <v>46062</v>
      </c>
      <c r="E56" s="2">
        <v>5.5</v>
      </c>
      <c r="F56" s="10">
        <v>117</v>
      </c>
      <c r="G56" s="36" t="s">
        <v>15</v>
      </c>
      <c r="H56" s="1" t="s">
        <v>16</v>
      </c>
      <c r="I56" s="10"/>
      <c r="J56" s="1" t="s">
        <v>17</v>
      </c>
      <c r="K56" s="1"/>
      <c r="L56" s="1"/>
      <c r="M56" s="28"/>
      <c r="N56" s="31"/>
      <c r="O56" s="66"/>
    </row>
    <row r="57" spans="1:15" x14ac:dyDescent="0.3">
      <c r="A57" s="52">
        <f t="shared" si="3"/>
        <v>2026</v>
      </c>
      <c r="B57" s="1">
        <f t="shared" si="3"/>
        <v>4</v>
      </c>
      <c r="C57" s="1">
        <v>914</v>
      </c>
      <c r="D57" s="17">
        <v>46062</v>
      </c>
      <c r="E57" s="2">
        <v>12.6</v>
      </c>
      <c r="F57" s="10">
        <v>200</v>
      </c>
      <c r="G57" s="36" t="s">
        <v>15</v>
      </c>
      <c r="H57" s="1" t="s">
        <v>19</v>
      </c>
      <c r="I57" s="10">
        <v>1</v>
      </c>
      <c r="J57" s="1" t="s">
        <v>17</v>
      </c>
      <c r="K57" s="1">
        <v>10</v>
      </c>
      <c r="L57" s="1">
        <v>10</v>
      </c>
      <c r="M57" s="28">
        <v>10</v>
      </c>
      <c r="N57" s="31">
        <v>0</v>
      </c>
      <c r="O57" s="66"/>
    </row>
    <row r="58" spans="1:15" x14ac:dyDescent="0.3">
      <c r="A58" s="52">
        <f t="shared" si="3"/>
        <v>2026</v>
      </c>
      <c r="B58" s="1">
        <f t="shared" si="3"/>
        <v>4</v>
      </c>
      <c r="C58" s="1">
        <v>915</v>
      </c>
      <c r="D58" s="17">
        <v>46062</v>
      </c>
      <c r="E58" s="2">
        <v>3.2</v>
      </c>
      <c r="F58" s="10">
        <v>155</v>
      </c>
      <c r="G58" s="36" t="s">
        <v>15</v>
      </c>
      <c r="H58" s="1" t="s">
        <v>16</v>
      </c>
      <c r="I58" s="10"/>
      <c r="J58" s="1" t="s">
        <v>17</v>
      </c>
      <c r="K58" s="1"/>
      <c r="L58" s="1"/>
      <c r="M58" s="28"/>
      <c r="N58" s="31"/>
      <c r="O58" s="66"/>
    </row>
    <row r="59" spans="1:15" x14ac:dyDescent="0.3">
      <c r="A59" s="52">
        <f t="shared" si="3"/>
        <v>2026</v>
      </c>
      <c r="B59" s="1">
        <f t="shared" si="3"/>
        <v>4</v>
      </c>
      <c r="C59" s="1">
        <v>918</v>
      </c>
      <c r="D59" s="17">
        <v>46064</v>
      </c>
      <c r="E59" s="2">
        <v>2.9</v>
      </c>
      <c r="F59" s="10">
        <v>180</v>
      </c>
      <c r="G59" s="36" t="s">
        <v>15</v>
      </c>
      <c r="H59" s="1" t="s">
        <v>16</v>
      </c>
      <c r="I59" s="10"/>
      <c r="J59" s="1" t="s">
        <v>17</v>
      </c>
      <c r="K59" s="1"/>
      <c r="L59" s="1"/>
      <c r="M59" s="28"/>
      <c r="N59" s="31"/>
      <c r="O59" s="66"/>
    </row>
    <row r="60" spans="1:15" ht="15" thickBot="1" x14ac:dyDescent="0.35">
      <c r="A60" s="75">
        <f t="shared" si="3"/>
        <v>2026</v>
      </c>
      <c r="B60" s="67">
        <f t="shared" si="3"/>
        <v>4</v>
      </c>
      <c r="C60" s="67">
        <v>919</v>
      </c>
      <c r="D60" s="17">
        <v>46062</v>
      </c>
      <c r="E60" s="69">
        <v>3.7</v>
      </c>
      <c r="F60" s="70">
        <v>200</v>
      </c>
      <c r="G60" s="36" t="s">
        <v>15</v>
      </c>
      <c r="H60" s="67" t="s">
        <v>16</v>
      </c>
      <c r="I60" s="70"/>
      <c r="J60" s="67" t="s">
        <v>17</v>
      </c>
      <c r="K60" s="67"/>
      <c r="L60" s="67"/>
      <c r="M60" s="72"/>
      <c r="N60" s="73"/>
      <c r="O60" s="66"/>
    </row>
    <row r="61" spans="1:15" ht="17.399999999999999" x14ac:dyDescent="0.3">
      <c r="A61" s="79" t="s">
        <v>21</v>
      </c>
      <c r="B61" s="80"/>
      <c r="C61" s="80"/>
      <c r="D61" s="80"/>
      <c r="E61" s="16"/>
      <c r="F61" s="35"/>
      <c r="G61" s="16"/>
      <c r="H61" s="5"/>
      <c r="I61" s="35"/>
      <c r="J61" s="6"/>
      <c r="K61" s="6"/>
      <c r="L61" s="6"/>
      <c r="M61" s="42"/>
      <c r="N61" s="6"/>
      <c r="O61" s="14"/>
    </row>
    <row r="62" spans="1:15" ht="19.8" x14ac:dyDescent="0.3">
      <c r="A62" s="79" t="s">
        <v>22</v>
      </c>
      <c r="B62" s="81"/>
      <c r="C62" s="81"/>
      <c r="D62" s="81"/>
      <c r="E62" s="27"/>
      <c r="F62" s="35"/>
      <c r="G62" s="27"/>
      <c r="H62" s="27"/>
      <c r="I62" s="35"/>
      <c r="J62" s="27"/>
      <c r="K62" s="27"/>
      <c r="L62" s="27"/>
      <c r="M62" s="43"/>
      <c r="N62" s="27"/>
      <c r="O62" s="14"/>
    </row>
    <row r="63" spans="1:15" ht="19.8" x14ac:dyDescent="0.3">
      <c r="A63" s="79" t="s">
        <v>23</v>
      </c>
      <c r="B63" s="81"/>
      <c r="C63" s="81"/>
      <c r="D63" s="81"/>
      <c r="E63" s="35"/>
      <c r="F63" s="35"/>
      <c r="G63" s="35"/>
      <c r="H63" s="35"/>
      <c r="I63" s="35"/>
      <c r="J63" s="56"/>
      <c r="K63" s="35"/>
      <c r="L63" s="35"/>
      <c r="M63" s="59"/>
      <c r="N63" s="35"/>
      <c r="O63" s="14"/>
    </row>
    <row r="64" spans="1:15" x14ac:dyDescent="0.3">
      <c r="A64" s="82" t="s">
        <v>39</v>
      </c>
      <c r="B64" s="83"/>
      <c r="C64" s="83"/>
      <c r="D64" s="81"/>
      <c r="E64" s="35"/>
      <c r="F64" s="35"/>
      <c r="G64" s="35"/>
      <c r="H64" s="35"/>
      <c r="I64" s="35"/>
      <c r="J64" s="56"/>
      <c r="K64" s="35"/>
      <c r="L64" s="35"/>
      <c r="M64" s="59"/>
      <c r="N64" s="35"/>
      <c r="O64" s="14"/>
    </row>
    <row r="66" spans="5:5" x14ac:dyDescent="0.3">
      <c r="E66" s="95"/>
    </row>
  </sheetData>
  <mergeCells count="1">
    <mergeCell ref="O49:O50"/>
  </mergeCells>
  <dataValidations count="3">
    <dataValidation type="list" allowBlank="1" showInputMessage="1" showErrorMessage="1" sqref="J2:J60" xr:uid="{DE4C33A0-A054-4928-AF2D-29D954BBACE4}">
      <formula1>"Preliminary, Completed"</formula1>
    </dataValidation>
    <dataValidation type="list" allowBlank="1" showInputMessage="1" showErrorMessage="1" sqref="H2:H60" xr:uid="{B369023F-F4AE-4802-8901-77F0CF08127D}">
      <formula1>"No Smelt Catch, Longfin Smelt "</formula1>
    </dataValidation>
    <dataValidation type="list" allowBlank="1" showInputMessage="1" showErrorMessage="1" sqref="G2:G60" xr:uid="{EE3CD425-057C-4622-8AE6-CE8C6C42799A}">
      <formula1>"Not Processed, Processed"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4ECD-0667-40E8-BCA3-C8D1AEBD3478}">
  <dimension ref="A1:N2"/>
  <sheetViews>
    <sheetView workbookViewId="0">
      <selection sqref="A1:K1"/>
    </sheetView>
  </sheetViews>
  <sheetFormatPr defaultRowHeight="14.4" x14ac:dyDescent="0.3"/>
  <sheetData>
    <row r="1" spans="1:14" ht="24.6" x14ac:dyDescent="0.4">
      <c r="A1" s="98" t="s">
        <v>20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4" x14ac:dyDescent="0.3">
      <c r="N2" s="78"/>
    </row>
  </sheetData>
  <mergeCells count="1">
    <mergeCell ref="A1:K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Survey 12</vt:lpstr>
      <vt:lpstr>Survey 13</vt:lpstr>
      <vt:lpstr>Survey 1</vt:lpstr>
      <vt:lpstr>Survey 2</vt:lpstr>
      <vt:lpstr>Survey 3</vt:lpstr>
      <vt:lpstr>Survey 4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McCormick, Lillian R</cp:lastModifiedBy>
  <cp:lastPrinted>2025-02-25T19:01:29Z</cp:lastPrinted>
  <dcterms:created xsi:type="dcterms:W3CDTF">2022-01-20T21:02:50Z</dcterms:created>
  <dcterms:modified xsi:type="dcterms:W3CDTF">2026-02-18T18:19:43Z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