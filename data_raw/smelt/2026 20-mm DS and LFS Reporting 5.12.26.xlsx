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NativeFish\Data Reporting\20-mm Catch Summaries\2026\"/>
    </mc:Choice>
  </mc:AlternateContent>
  <xr:revisionPtr revIDLastSave="0" documentId="13_ncr:1_{671035BE-4DCA-430F-8FF6-DB067DE42177}" xr6:coauthVersionLast="47" xr6:coauthVersionMax="47" xr10:uidLastSave="{00000000-0000-0000-0000-000000000000}"/>
  <bookViews>
    <workbookView xWindow="-120" yWindow="-120" windowWidth="29040" windowHeight="15720" tabRatio="844" activeTab="2" xr2:uid="{FADF9BD8-084D-4A05-925F-CF581A2A38ED}"/>
  </bookViews>
  <sheets>
    <sheet name="Survey 1" sheetId="52" r:id="rId1"/>
    <sheet name="Survey 2" sheetId="73" r:id="rId2"/>
    <sheet name="Survey 3" sheetId="74" r:id="rId3"/>
    <sheet name="Survey 4" sheetId="76" r:id="rId4"/>
    <sheet name="Survey 5" sheetId="77" r:id="rId5"/>
    <sheet name="20-mm Map" sheetId="72" r:id="rId6"/>
  </sheets>
  <definedNames>
    <definedName name="_xlnm._FilterDatabase" localSheetId="0" hidden="1">'Survey 1'!$H$1:$H$83</definedName>
    <definedName name="_xlnm._FilterDatabase" localSheetId="3" hidden="1">'Survey 4'!$H$1:$H$83</definedName>
    <definedName name="_xlnm._FilterDatabase" localSheetId="4" hidden="1">'Survey 5'!$H$1:$H$83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2" i="77" l="1"/>
  <c r="J81" i="77"/>
  <c r="J80" i="77"/>
  <c r="J79" i="77"/>
  <c r="J78" i="77"/>
  <c r="J77" i="77"/>
  <c r="J76" i="77"/>
  <c r="J75" i="77"/>
  <c r="J83" i="77" s="1"/>
  <c r="J73" i="77"/>
  <c r="J82" i="76"/>
  <c r="J81" i="76"/>
  <c r="J80" i="76"/>
  <c r="J79" i="76"/>
  <c r="J78" i="76"/>
  <c r="J77" i="76"/>
  <c r="J76" i="76"/>
  <c r="J75" i="76"/>
  <c r="J73" i="76"/>
  <c r="C51" i="76"/>
  <c r="C50" i="76"/>
  <c r="C49" i="76"/>
  <c r="C48" i="76"/>
  <c r="C47" i="76"/>
  <c r="C46" i="76"/>
  <c r="C45" i="76"/>
  <c r="C44" i="76"/>
  <c r="C43" i="76"/>
  <c r="C42" i="76"/>
  <c r="C41" i="76"/>
  <c r="C40" i="76"/>
  <c r="C39" i="76"/>
  <c r="C38" i="76"/>
  <c r="C37" i="76"/>
  <c r="C36" i="76"/>
  <c r="C35" i="76"/>
  <c r="C34" i="76"/>
  <c r="C33" i="76"/>
  <c r="C32" i="76"/>
  <c r="C31" i="76"/>
  <c r="C30" i="76"/>
  <c r="C29" i="76"/>
  <c r="C28" i="76"/>
  <c r="C27" i="76"/>
  <c r="C26" i="76"/>
  <c r="C25" i="76"/>
  <c r="C24" i="76"/>
  <c r="C23" i="76"/>
  <c r="C22" i="76"/>
  <c r="C18" i="76"/>
  <c r="C17" i="76"/>
  <c r="C16" i="76"/>
  <c r="C4" i="76"/>
  <c r="C5" i="76" s="1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B35" i="76" s="1"/>
  <c r="B36" i="76" s="1"/>
  <c r="B37" i="76" s="1"/>
  <c r="B38" i="76" s="1"/>
  <c r="B39" i="76" s="1"/>
  <c r="B40" i="76" s="1"/>
  <c r="B41" i="76" s="1"/>
  <c r="B42" i="76" s="1"/>
  <c r="B43" i="76" s="1"/>
  <c r="B44" i="76" s="1"/>
  <c r="B45" i="76" s="1"/>
  <c r="B46" i="76" s="1"/>
  <c r="B47" i="76" s="1"/>
  <c r="B48" i="76" s="1"/>
  <c r="B49" i="76" s="1"/>
  <c r="B50" i="76" s="1"/>
  <c r="B51" i="76" s="1"/>
  <c r="C19" i="76" l="1"/>
  <c r="C20" i="76"/>
  <c r="C6" i="76"/>
  <c r="J83" i="76"/>
  <c r="C21" i="76" l="1"/>
  <c r="C7" i="76"/>
  <c r="C8" i="76" s="1"/>
  <c r="C9" i="76" s="1"/>
  <c r="C10" i="76" s="1"/>
  <c r="C11" i="76" s="1"/>
  <c r="C12" i="76" s="1"/>
  <c r="C13" i="76" s="1"/>
  <c r="C14" i="76" s="1"/>
  <c r="C15" i="76" s="1"/>
  <c r="J82" i="74" l="1"/>
  <c r="J81" i="74"/>
  <c r="J80" i="74"/>
  <c r="J79" i="74"/>
  <c r="J78" i="74"/>
  <c r="J77" i="74"/>
  <c r="J76" i="74"/>
  <c r="J75" i="74"/>
  <c r="J82" i="73"/>
  <c r="J81" i="73"/>
  <c r="J80" i="73"/>
  <c r="J79" i="73"/>
  <c r="J78" i="73"/>
  <c r="J77" i="73"/>
  <c r="J76" i="73"/>
  <c r="J75" i="73"/>
  <c r="J73" i="73"/>
  <c r="J79" i="52"/>
  <c r="J83" i="74" l="1"/>
  <c r="J83" i="73"/>
  <c r="J73" i="52"/>
  <c r="J75" i="52"/>
  <c r="J76" i="52"/>
  <c r="J77" i="52"/>
  <c r="J78" i="52"/>
  <c r="J80" i="52"/>
  <c r="J81" i="52"/>
  <c r="J82" i="52"/>
  <c r="J83" i="52" l="1"/>
  <c r="J72" i="74" l="1"/>
  <c r="J73" i="74" s="1"/>
</calcChain>
</file>

<file path=xl/sharedStrings.xml><?xml version="1.0" encoding="utf-8"?>
<sst xmlns="http://schemas.openxmlformats.org/spreadsheetml/2006/main" count="358" uniqueCount="51">
  <si>
    <t>Year</t>
  </si>
  <si>
    <t>Survey</t>
  </si>
  <si>
    <t>Station</t>
  </si>
  <si>
    <t>Date</t>
  </si>
  <si>
    <t># Tows Processed</t>
  </si>
  <si>
    <t>Total Catch</t>
  </si>
  <si>
    <t>Confluence</t>
  </si>
  <si>
    <t>Sac. River System</t>
  </si>
  <si>
    <t>Central &amp; South Delta</t>
  </si>
  <si>
    <t>Min Length</t>
  </si>
  <si>
    <t>Max Length</t>
  </si>
  <si>
    <t>Avg Length</t>
  </si>
  <si>
    <t>Species</t>
  </si>
  <si>
    <t>Num tows:</t>
  </si>
  <si>
    <t>Processed tows:</t>
  </si>
  <si>
    <t>% Complete</t>
  </si>
  <si>
    <t>ID Status</t>
  </si>
  <si>
    <t>Secchi (CM)</t>
  </si>
  <si>
    <t>Napa River</t>
  </si>
  <si>
    <t>Carquinez Strait</t>
  </si>
  <si>
    <t>San pablo</t>
  </si>
  <si>
    <t>carquinez strait</t>
  </si>
  <si>
    <t>Suisun bay and Marsh</t>
  </si>
  <si>
    <t>Sac River system</t>
  </si>
  <si>
    <t>Central &amp; south</t>
  </si>
  <si>
    <t>San Pablo Bay</t>
  </si>
  <si>
    <t>Suisun Bay &amp; Marsh</t>
  </si>
  <si>
    <t>809+ 812</t>
  </si>
  <si>
    <t>Longfin Smelt</t>
  </si>
  <si>
    <t>Complete</t>
  </si>
  <si>
    <t>No Smelt Catch</t>
  </si>
  <si>
    <t>Not Sampled</t>
  </si>
  <si>
    <t>Turbidity (FNU)</t>
  </si>
  <si>
    <t>CDFW's 2025 20-mm Station Map</t>
  </si>
  <si>
    <t>.</t>
  </si>
  <si>
    <t>902*∆</t>
  </si>
  <si>
    <t>*Reduced tow time (5 min)</t>
  </si>
  <si>
    <t>∆Reduced to time (2.5 min)</t>
  </si>
  <si>
    <t>≠ Dropped tow</t>
  </si>
  <si>
    <t>Processing is complete through 5/5/26</t>
  </si>
  <si>
    <t>804∆</t>
  </si>
  <si>
    <t>720∆</t>
  </si>
  <si>
    <t>906∆</t>
  </si>
  <si>
    <t>901≠</t>
  </si>
  <si>
    <t>901*∆</t>
  </si>
  <si>
    <t>910∆</t>
  </si>
  <si>
    <t>914∆</t>
  </si>
  <si>
    <t>Processing is complete through 5/12/26</t>
  </si>
  <si>
    <r>
      <t>720</t>
    </r>
    <r>
      <rPr>
        <sz val="14"/>
        <color rgb="FF000000"/>
        <rFont val="Arial"/>
        <family val="2"/>
      </rPr>
      <t>*</t>
    </r>
  </si>
  <si>
    <r>
      <t>902</t>
    </r>
    <r>
      <rPr>
        <vertAlign val="superscript"/>
        <sz val="14"/>
        <color rgb="FF000000"/>
        <rFont val="Arial"/>
        <family val="2"/>
      </rPr>
      <t>*∆</t>
    </r>
  </si>
  <si>
    <r>
      <t>901</t>
    </r>
    <r>
      <rPr>
        <vertAlign val="superscript"/>
        <sz val="14"/>
        <color rgb="FF000000"/>
        <rFont val="Arial"/>
        <family val="2"/>
      </rPr>
      <t>∆≠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</si>
</sst>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"/>
    <numFmt numFmtId="165" formatCode="0.0%"/>
    <numFmt numFmtId="166" formatCode="0.0"/>
    <numFmt numFmtId="167" formatCode="m/d/yy;@"/>
  </numFmts>
  <fonts count="10" x14ac:knownFonts="1">
    <font>
      <sz val="10"/>
      <color indexed="8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24"/>
      <color rgb="FF000000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FED0D0"/>
        <bgColor indexed="8"/>
      </patternFill>
    </fill>
    <fill>
      <patternFill patternType="solid">
        <fgColor theme="7" tint="0.79998168889431442"/>
        <bgColor indexed="8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4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10" borderId="0" xfId="0" applyFill="1" applyAlignment="1">
      <alignment horizontal="center"/>
    </xf>
    <xf numFmtId="0" fontId="2" fillId="10" borderId="0" xfId="0" applyFont="1" applyFill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27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10" borderId="1" xfId="0" applyNumberFormat="1" applyFill="1" applyBorder="1" applyAlignment="1">
      <alignment horizontal="center"/>
    </xf>
    <xf numFmtId="9" fontId="1" fillId="0" borderId="0" xfId="0" applyNumberFormat="1" applyFont="1" applyAlignment="1">
      <alignment horizontal="center"/>
    </xf>
    <xf numFmtId="0" fontId="3" fillId="10" borderId="0" xfId="0" applyFont="1" applyFill="1" applyAlignment="1">
      <alignment horizontal="center"/>
    </xf>
    <xf numFmtId="1" fontId="3" fillId="10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0" fontId="5" fillId="10" borderId="0" xfId="0" applyFont="1" applyFill="1"/>
    <xf numFmtId="0" fontId="5" fillId="10" borderId="0" xfId="0" applyFont="1" applyFill="1" applyAlignment="1">
      <alignment horizontal="center" vertical="center"/>
    </xf>
    <xf numFmtId="167" fontId="5" fillId="21" borderId="16" xfId="0" applyNumberFormat="1" applyFont="1" applyFill="1" applyBorder="1" applyAlignment="1">
      <alignment horizontal="center" wrapText="1"/>
    </xf>
    <xf numFmtId="1" fontId="5" fillId="21" borderId="16" xfId="0" applyNumberFormat="1" applyFont="1" applyFill="1" applyBorder="1" applyAlignment="1">
      <alignment horizontal="center" wrapText="1"/>
    </xf>
    <xf numFmtId="0" fontId="5" fillId="21" borderId="16" xfId="0" applyFont="1" applyFill="1" applyBorder="1" applyAlignment="1">
      <alignment horizontal="center" wrapText="1"/>
    </xf>
    <xf numFmtId="0" fontId="5" fillId="22" borderId="16" xfId="0" applyFont="1" applyFill="1" applyBorder="1" applyAlignment="1">
      <alignment horizontal="center"/>
    </xf>
    <xf numFmtId="1" fontId="5" fillId="22" borderId="16" xfId="0" applyNumberFormat="1" applyFont="1" applyFill="1" applyBorder="1" applyAlignment="1">
      <alignment horizontal="center"/>
    </xf>
    <xf numFmtId="0" fontId="5" fillId="22" borderId="31" xfId="0" applyFont="1" applyFill="1" applyBorder="1" applyAlignment="1">
      <alignment horizontal="center"/>
    </xf>
    <xf numFmtId="0" fontId="5" fillId="22" borderId="17" xfId="0" applyFont="1" applyFill="1" applyBorder="1" applyAlignment="1">
      <alignment horizontal="center"/>
    </xf>
    <xf numFmtId="166" fontId="5" fillId="22" borderId="24" xfId="0" applyNumberFormat="1" applyFont="1" applyFill="1" applyBorder="1" applyAlignment="1">
      <alignment horizontal="center"/>
    </xf>
    <xf numFmtId="167" fontId="5" fillId="21" borderId="5" xfId="0" applyNumberFormat="1" applyFont="1" applyFill="1" applyBorder="1" applyAlignment="1">
      <alignment horizontal="center" wrapText="1"/>
    </xf>
    <xf numFmtId="1" fontId="5" fillId="21" borderId="5" xfId="0" applyNumberFormat="1" applyFont="1" applyFill="1" applyBorder="1" applyAlignment="1">
      <alignment horizontal="center" wrapText="1"/>
    </xf>
    <xf numFmtId="0" fontId="5" fillId="21" borderId="5" xfId="0" applyFont="1" applyFill="1" applyBorder="1" applyAlignment="1">
      <alignment horizontal="center" wrapText="1"/>
    </xf>
    <xf numFmtId="0" fontId="5" fillId="22" borderId="5" xfId="0" applyFont="1" applyFill="1" applyBorder="1" applyAlignment="1">
      <alignment horizontal="center"/>
    </xf>
    <xf numFmtId="1" fontId="5" fillId="22" borderId="5" xfId="0" applyNumberFormat="1" applyFont="1" applyFill="1" applyBorder="1" applyAlignment="1">
      <alignment horizontal="center"/>
    </xf>
    <xf numFmtId="0" fontId="5" fillId="22" borderId="29" xfId="0" applyFont="1" applyFill="1" applyBorder="1" applyAlignment="1">
      <alignment horizontal="center"/>
    </xf>
    <xf numFmtId="0" fontId="5" fillId="22" borderId="6" xfId="0" applyFont="1" applyFill="1" applyBorder="1" applyAlignment="1">
      <alignment horizontal="center"/>
    </xf>
    <xf numFmtId="166" fontId="5" fillId="22" borderId="21" xfId="0" applyNumberFormat="1" applyFont="1" applyFill="1" applyBorder="1" applyAlignment="1">
      <alignment horizontal="center"/>
    </xf>
    <xf numFmtId="167" fontId="5" fillId="16" borderId="5" xfId="0" applyNumberFormat="1" applyFont="1" applyFill="1" applyBorder="1" applyAlignment="1">
      <alignment horizontal="center" wrapText="1"/>
    </xf>
    <xf numFmtId="1" fontId="5" fillId="16" borderId="7" xfId="0" applyNumberFormat="1" applyFont="1" applyFill="1" applyBorder="1" applyAlignment="1">
      <alignment horizontal="center" wrapText="1"/>
    </xf>
    <xf numFmtId="0" fontId="5" fillId="16" borderId="7" xfId="0" applyFont="1" applyFill="1" applyBorder="1" applyAlignment="1">
      <alignment horizontal="center" wrapText="1"/>
    </xf>
    <xf numFmtId="0" fontId="5" fillId="9" borderId="5" xfId="0" applyFont="1" applyFill="1" applyBorder="1" applyAlignment="1">
      <alignment horizontal="center"/>
    </xf>
    <xf numFmtId="1" fontId="5" fillId="9" borderId="7" xfId="0" applyNumberFormat="1" applyFont="1" applyFill="1" applyBorder="1" applyAlignment="1">
      <alignment horizontal="center"/>
    </xf>
    <xf numFmtId="0" fontId="5" fillId="9" borderId="28" xfId="0" applyFont="1" applyFill="1" applyBorder="1" applyAlignment="1">
      <alignment horizontal="center"/>
    </xf>
    <xf numFmtId="0" fontId="5" fillId="9" borderId="8" xfId="0" applyFont="1" applyFill="1" applyBorder="1" applyAlignment="1">
      <alignment horizontal="center"/>
    </xf>
    <xf numFmtId="166" fontId="5" fillId="9" borderId="22" xfId="0" applyNumberFormat="1" applyFont="1" applyFill="1" applyBorder="1" applyAlignment="1">
      <alignment horizontal="center"/>
    </xf>
    <xf numFmtId="167" fontId="5" fillId="16" borderId="7" xfId="0" applyNumberFormat="1" applyFont="1" applyFill="1" applyBorder="1" applyAlignment="1">
      <alignment horizontal="center" wrapText="1"/>
    </xf>
    <xf numFmtId="167" fontId="5" fillId="16" borderId="18" xfId="0" applyNumberFormat="1" applyFont="1" applyFill="1" applyBorder="1" applyAlignment="1">
      <alignment horizontal="center" wrapText="1"/>
    </xf>
    <xf numFmtId="1" fontId="5" fillId="16" borderId="18" xfId="0" applyNumberFormat="1" applyFont="1" applyFill="1" applyBorder="1" applyAlignment="1">
      <alignment horizontal="center" wrapText="1"/>
    </xf>
    <xf numFmtId="0" fontId="5" fillId="16" borderId="18" xfId="0" applyFont="1" applyFill="1" applyBorder="1" applyAlignment="1">
      <alignment horizontal="center" wrapText="1"/>
    </xf>
    <xf numFmtId="1" fontId="5" fillId="9" borderId="18" xfId="0" applyNumberFormat="1" applyFont="1" applyFill="1" applyBorder="1" applyAlignment="1">
      <alignment horizontal="center"/>
    </xf>
    <xf numFmtId="0" fontId="5" fillId="9" borderId="32" xfId="0" applyFont="1" applyFill="1" applyBorder="1" applyAlignment="1">
      <alignment horizontal="center"/>
    </xf>
    <xf numFmtId="0" fontId="5" fillId="9" borderId="19" xfId="0" applyFont="1" applyFill="1" applyBorder="1" applyAlignment="1">
      <alignment horizontal="center"/>
    </xf>
    <xf numFmtId="166" fontId="5" fillId="9" borderId="25" xfId="0" applyNumberFormat="1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9" borderId="18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12" borderId="16" xfId="0" applyFont="1" applyFill="1" applyBorder="1" applyAlignment="1">
      <alignment horizontal="center"/>
    </xf>
    <xf numFmtId="167" fontId="5" fillId="12" borderId="16" xfId="0" applyNumberFormat="1" applyFont="1" applyFill="1" applyBorder="1" applyAlignment="1">
      <alignment horizontal="center"/>
    </xf>
    <xf numFmtId="1" fontId="5" fillId="12" borderId="16" xfId="0" applyNumberFormat="1" applyFont="1" applyFill="1" applyBorder="1" applyAlignment="1">
      <alignment horizontal="center"/>
    </xf>
    <xf numFmtId="1" fontId="5" fillId="12" borderId="37" xfId="0" applyNumberFormat="1" applyFont="1" applyFill="1" applyBorder="1" applyAlignment="1">
      <alignment horizontal="center"/>
    </xf>
    <xf numFmtId="0" fontId="5" fillId="12" borderId="31" xfId="0" applyFont="1" applyFill="1" applyBorder="1" applyAlignment="1">
      <alignment horizontal="center"/>
    </xf>
    <xf numFmtId="0" fontId="5" fillId="12" borderId="40" xfId="0" applyFont="1" applyFill="1" applyBorder="1" applyAlignment="1">
      <alignment horizontal="center"/>
    </xf>
    <xf numFmtId="0" fontId="5" fillId="12" borderId="5" xfId="0" applyFont="1" applyFill="1" applyBorder="1" applyAlignment="1">
      <alignment horizontal="center"/>
    </xf>
    <xf numFmtId="0" fontId="5" fillId="20" borderId="7" xfId="0" applyFont="1" applyFill="1" applyBorder="1" applyAlignment="1">
      <alignment horizontal="center"/>
    </xf>
    <xf numFmtId="167" fontId="5" fillId="12" borderId="5" xfId="0" applyNumberFormat="1" applyFont="1" applyFill="1" applyBorder="1" applyAlignment="1">
      <alignment horizontal="center"/>
    </xf>
    <xf numFmtId="1" fontId="5" fillId="12" borderId="5" xfId="0" applyNumberFormat="1" applyFont="1" applyFill="1" applyBorder="1" applyAlignment="1">
      <alignment horizontal="center"/>
    </xf>
    <xf numFmtId="0" fontId="5" fillId="12" borderId="7" xfId="0" applyFont="1" applyFill="1" applyBorder="1" applyAlignment="1">
      <alignment horizontal="center"/>
    </xf>
    <xf numFmtId="1" fontId="5" fillId="12" borderId="38" xfId="0" applyNumberFormat="1" applyFont="1" applyFill="1" applyBorder="1" applyAlignment="1">
      <alignment horizontal="center"/>
    </xf>
    <xf numFmtId="0" fontId="5" fillId="12" borderId="29" xfId="0" applyFont="1" applyFill="1" applyBorder="1" applyAlignment="1">
      <alignment horizontal="center"/>
    </xf>
    <xf numFmtId="0" fontId="5" fillId="12" borderId="39" xfId="0" applyFont="1" applyFill="1" applyBorder="1" applyAlignment="1">
      <alignment horizontal="center"/>
    </xf>
    <xf numFmtId="0" fontId="5" fillId="12" borderId="41" xfId="0" applyFont="1" applyFill="1" applyBorder="1" applyAlignment="1">
      <alignment horizontal="center"/>
    </xf>
    <xf numFmtId="167" fontId="5" fillId="12" borderId="41" xfId="0" applyNumberFormat="1" applyFont="1" applyFill="1" applyBorder="1" applyAlignment="1">
      <alignment horizontal="center"/>
    </xf>
    <xf numFmtId="1" fontId="5" fillId="12" borderId="41" xfId="0" applyNumberFormat="1" applyFont="1" applyFill="1" applyBorder="1" applyAlignment="1">
      <alignment horizontal="center"/>
    </xf>
    <xf numFmtId="1" fontId="5" fillId="12" borderId="42" xfId="0" applyNumberFormat="1" applyFont="1" applyFill="1" applyBorder="1" applyAlignment="1">
      <alignment horizontal="center"/>
    </xf>
    <xf numFmtId="0" fontId="5" fillId="12" borderId="43" xfId="0" applyFont="1" applyFill="1" applyBorder="1" applyAlignment="1">
      <alignment horizontal="center"/>
    </xf>
    <xf numFmtId="0" fontId="5" fillId="12" borderId="44" xfId="0" applyFont="1" applyFill="1" applyBorder="1" applyAlignment="1">
      <alignment horizontal="center"/>
    </xf>
    <xf numFmtId="0" fontId="5" fillId="13" borderId="16" xfId="0" applyFont="1" applyFill="1" applyBorder="1" applyAlignment="1">
      <alignment horizontal="center"/>
    </xf>
    <xf numFmtId="0" fontId="5" fillId="19" borderId="16" xfId="0" applyFont="1" applyFill="1" applyBorder="1" applyAlignment="1">
      <alignment horizontal="center"/>
    </xf>
    <xf numFmtId="167" fontId="5" fillId="19" borderId="16" xfId="0" applyNumberFormat="1" applyFont="1" applyFill="1" applyBorder="1" applyAlignment="1">
      <alignment horizontal="center" wrapText="1"/>
    </xf>
    <xf numFmtId="1" fontId="5" fillId="19" borderId="16" xfId="0" applyNumberFormat="1" applyFont="1" applyFill="1" applyBorder="1" applyAlignment="1">
      <alignment horizontal="center" wrapText="1"/>
    </xf>
    <xf numFmtId="1" fontId="5" fillId="13" borderId="16" xfId="0" applyNumberFormat="1" applyFont="1" applyFill="1" applyBorder="1" applyAlignment="1">
      <alignment horizontal="center"/>
    </xf>
    <xf numFmtId="0" fontId="5" fillId="13" borderId="31" xfId="0" applyFont="1" applyFill="1" applyBorder="1" applyAlignment="1">
      <alignment horizontal="center"/>
    </xf>
    <xf numFmtId="0" fontId="5" fillId="13" borderId="17" xfId="0" applyFont="1" applyFill="1" applyBorder="1" applyAlignment="1">
      <alignment horizontal="center"/>
    </xf>
    <xf numFmtId="166" fontId="5" fillId="13" borderId="24" xfId="0" applyNumberFormat="1" applyFont="1" applyFill="1" applyBorder="1" applyAlignment="1">
      <alignment horizontal="center"/>
    </xf>
    <xf numFmtId="0" fontId="5" fillId="19" borderId="7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167" fontId="5" fillId="19" borderId="7" xfId="0" applyNumberFormat="1" applyFont="1" applyFill="1" applyBorder="1" applyAlignment="1">
      <alignment horizontal="center" wrapText="1"/>
    </xf>
    <xf numFmtId="1" fontId="5" fillId="19" borderId="7" xfId="0" applyNumberFormat="1" applyFont="1" applyFill="1" applyBorder="1" applyAlignment="1">
      <alignment horizontal="center" wrapText="1"/>
    </xf>
    <xf numFmtId="1" fontId="5" fillId="13" borderId="7" xfId="0" applyNumberFormat="1" applyFont="1" applyFill="1" applyBorder="1" applyAlignment="1">
      <alignment horizontal="center"/>
    </xf>
    <xf numFmtId="0" fontId="5" fillId="13" borderId="28" xfId="0" applyFont="1" applyFill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166" fontId="5" fillId="13" borderId="22" xfId="0" applyNumberFormat="1" applyFont="1" applyFill="1" applyBorder="1" applyAlignment="1">
      <alignment horizontal="center"/>
    </xf>
    <xf numFmtId="0" fontId="5" fillId="19" borderId="18" xfId="0" applyFont="1" applyFill="1" applyBorder="1" applyAlignment="1">
      <alignment horizontal="center"/>
    </xf>
    <xf numFmtId="0" fontId="5" fillId="19" borderId="14" xfId="0" applyFont="1" applyFill="1" applyBorder="1" applyAlignment="1">
      <alignment horizontal="center"/>
    </xf>
    <xf numFmtId="0" fontId="5" fillId="13" borderId="18" xfId="0" applyFont="1" applyFill="1" applyBorder="1" applyAlignment="1">
      <alignment horizontal="center"/>
    </xf>
    <xf numFmtId="167" fontId="5" fillId="19" borderId="18" xfId="0" applyNumberFormat="1" applyFont="1" applyFill="1" applyBorder="1" applyAlignment="1">
      <alignment horizontal="center" wrapText="1"/>
    </xf>
    <xf numFmtId="1" fontId="5" fillId="19" borderId="18" xfId="0" applyNumberFormat="1" applyFont="1" applyFill="1" applyBorder="1" applyAlignment="1">
      <alignment horizontal="center" wrapText="1"/>
    </xf>
    <xf numFmtId="1" fontId="5" fillId="13" borderId="18" xfId="0" applyNumberFormat="1" applyFont="1" applyFill="1" applyBorder="1" applyAlignment="1">
      <alignment horizontal="center"/>
    </xf>
    <xf numFmtId="0" fontId="5" fillId="13" borderId="32" xfId="0" applyFont="1" applyFill="1" applyBorder="1" applyAlignment="1">
      <alignment horizontal="center"/>
    </xf>
    <xf numFmtId="0" fontId="5" fillId="13" borderId="19" xfId="0" applyFont="1" applyFill="1" applyBorder="1" applyAlignment="1">
      <alignment horizontal="center"/>
    </xf>
    <xf numFmtId="166" fontId="5" fillId="13" borderId="25" xfId="0" applyNumberFormat="1" applyFont="1" applyFill="1" applyBorder="1" applyAlignment="1">
      <alignment horizontal="center"/>
    </xf>
    <xf numFmtId="0" fontId="5" fillId="15" borderId="5" xfId="0" applyFont="1" applyFill="1" applyBorder="1" applyAlignment="1">
      <alignment horizontal="center"/>
    </xf>
    <xf numFmtId="0" fontId="5" fillId="18" borderId="16" xfId="0" applyFont="1" applyFill="1" applyBorder="1" applyAlignment="1">
      <alignment horizontal="center"/>
    </xf>
    <xf numFmtId="167" fontId="5" fillId="18" borderId="5" xfId="0" applyNumberFormat="1" applyFont="1" applyFill="1" applyBorder="1" applyAlignment="1">
      <alignment horizontal="center" wrapText="1"/>
    </xf>
    <xf numFmtId="1" fontId="5" fillId="18" borderId="5" xfId="0" applyNumberFormat="1" applyFont="1" applyFill="1" applyBorder="1" applyAlignment="1">
      <alignment horizontal="center" wrapText="1"/>
    </xf>
    <xf numFmtId="1" fontId="5" fillId="15" borderId="5" xfId="0" applyNumberFormat="1" applyFont="1" applyFill="1" applyBorder="1" applyAlignment="1">
      <alignment horizontal="center"/>
    </xf>
    <xf numFmtId="0" fontId="5" fillId="15" borderId="29" xfId="0" applyFont="1" applyFill="1" applyBorder="1" applyAlignment="1">
      <alignment horizontal="center"/>
    </xf>
    <xf numFmtId="0" fontId="5" fillId="15" borderId="6" xfId="0" applyFont="1" applyFill="1" applyBorder="1" applyAlignment="1">
      <alignment horizontal="center"/>
    </xf>
    <xf numFmtId="166" fontId="5" fillId="15" borderId="21" xfId="0" applyNumberFormat="1" applyFont="1" applyFill="1" applyBorder="1" applyAlignment="1">
      <alignment horizontal="center"/>
    </xf>
    <xf numFmtId="0" fontId="5" fillId="18" borderId="7" xfId="0" applyFont="1" applyFill="1" applyBorder="1" applyAlignment="1">
      <alignment horizontal="center"/>
    </xf>
    <xf numFmtId="0" fontId="5" fillId="15" borderId="7" xfId="0" applyFont="1" applyFill="1" applyBorder="1" applyAlignment="1">
      <alignment horizontal="center"/>
    </xf>
    <xf numFmtId="167" fontId="5" fillId="18" borderId="7" xfId="0" applyNumberFormat="1" applyFont="1" applyFill="1" applyBorder="1" applyAlignment="1">
      <alignment horizontal="center" wrapText="1"/>
    </xf>
    <xf numFmtId="1" fontId="5" fillId="15" borderId="7" xfId="0" applyNumberFormat="1" applyFont="1" applyFill="1" applyBorder="1" applyAlignment="1">
      <alignment horizontal="center"/>
    </xf>
    <xf numFmtId="0" fontId="5" fillId="15" borderId="28" xfId="0" applyFont="1" applyFill="1" applyBorder="1" applyAlignment="1">
      <alignment horizontal="center"/>
    </xf>
    <xf numFmtId="0" fontId="5" fillId="15" borderId="8" xfId="0" applyFont="1" applyFill="1" applyBorder="1" applyAlignment="1">
      <alignment horizontal="center"/>
    </xf>
    <xf numFmtId="166" fontId="5" fillId="15" borderId="22" xfId="0" applyNumberFormat="1" applyFont="1" applyFill="1" applyBorder="1" applyAlignment="1">
      <alignment horizontal="center"/>
    </xf>
    <xf numFmtId="0" fontId="5" fillId="18" borderId="18" xfId="0" applyFont="1" applyFill="1" applyBorder="1" applyAlignment="1">
      <alignment horizontal="center"/>
    </xf>
    <xf numFmtId="0" fontId="5" fillId="15" borderId="18" xfId="0" applyFont="1" applyFill="1" applyBorder="1" applyAlignment="1">
      <alignment horizontal="center"/>
    </xf>
    <xf numFmtId="167" fontId="5" fillId="15" borderId="18" xfId="0" applyNumberFormat="1" applyFont="1" applyFill="1" applyBorder="1" applyAlignment="1">
      <alignment horizontal="center"/>
    </xf>
    <xf numFmtId="1" fontId="5" fillId="15" borderId="18" xfId="0" applyNumberFormat="1" applyFont="1" applyFill="1" applyBorder="1" applyAlignment="1">
      <alignment horizontal="center"/>
    </xf>
    <xf numFmtId="0" fontId="5" fillId="18" borderId="18" xfId="0" applyFont="1" applyFill="1" applyBorder="1" applyAlignment="1">
      <alignment horizontal="center" wrapText="1"/>
    </xf>
    <xf numFmtId="0" fontId="5" fillId="15" borderId="32" xfId="0" applyFont="1" applyFill="1" applyBorder="1" applyAlignment="1">
      <alignment horizontal="center"/>
    </xf>
    <xf numFmtId="0" fontId="5" fillId="15" borderId="19" xfId="0" applyFont="1" applyFill="1" applyBorder="1" applyAlignment="1">
      <alignment horizontal="center"/>
    </xf>
    <xf numFmtId="166" fontId="5" fillId="15" borderId="25" xfId="0" applyNumberFormat="1" applyFont="1" applyFill="1" applyBorder="1" applyAlignment="1">
      <alignment horizontal="center"/>
    </xf>
    <xf numFmtId="0" fontId="5" fillId="17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67" fontId="5" fillId="2" borderId="5" xfId="0" applyNumberFormat="1" applyFont="1" applyFill="1" applyBorder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 wrapText="1"/>
    </xf>
    <xf numFmtId="0" fontId="5" fillId="2" borderId="29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66" fontId="5" fillId="2" borderId="21" xfId="0" applyNumberFormat="1" applyFont="1" applyFill="1" applyBorder="1" applyAlignment="1">
      <alignment horizontal="center"/>
    </xf>
    <xf numFmtId="0" fontId="5" fillId="17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67" fontId="5" fillId="2" borderId="7" xfId="0" applyNumberFormat="1" applyFont="1" applyFill="1" applyBorder="1" applyAlignment="1">
      <alignment horizontal="center"/>
    </xf>
    <xf numFmtId="1" fontId="5" fillId="2" borderId="7" xfId="0" applyNumberFormat="1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 wrapText="1"/>
    </xf>
    <xf numFmtId="0" fontId="5" fillId="2" borderId="28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166" fontId="5" fillId="2" borderId="22" xfId="0" applyNumberFormat="1" applyFont="1" applyFill="1" applyBorder="1" applyAlignment="1">
      <alignment horizontal="center"/>
    </xf>
    <xf numFmtId="167" fontId="5" fillId="8" borderId="7" xfId="0" applyNumberFormat="1" applyFont="1" applyFill="1" applyBorder="1" applyAlignment="1">
      <alignment horizontal="center" wrapText="1"/>
    </xf>
    <xf numFmtId="1" fontId="5" fillId="8" borderId="7" xfId="0" applyNumberFormat="1" applyFont="1" applyFill="1" applyBorder="1" applyAlignment="1">
      <alignment horizontal="center" wrapText="1"/>
    </xf>
    <xf numFmtId="0" fontId="5" fillId="17" borderId="14" xfId="0" applyFont="1" applyFill="1" applyBorder="1" applyAlignment="1">
      <alignment horizontal="center"/>
    </xf>
    <xf numFmtId="0" fontId="5" fillId="17" borderId="18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167" fontId="5" fillId="8" borderId="14" xfId="0" applyNumberFormat="1" applyFont="1" applyFill="1" applyBorder="1" applyAlignment="1">
      <alignment horizontal="center" wrapText="1"/>
    </xf>
    <xf numFmtId="1" fontId="5" fillId="8" borderId="14" xfId="0" applyNumberFormat="1" applyFont="1" applyFill="1" applyBorder="1" applyAlignment="1">
      <alignment horizontal="center" wrapText="1"/>
    </xf>
    <xf numFmtId="0" fontId="5" fillId="8" borderId="14" xfId="0" applyFont="1" applyFill="1" applyBorder="1" applyAlignment="1">
      <alignment horizontal="center" wrapText="1"/>
    </xf>
    <xf numFmtId="1" fontId="5" fillId="2" borderId="14" xfId="0" applyNumberFormat="1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166" fontId="5" fillId="2" borderId="23" xfId="0" applyNumberFormat="1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167" fontId="5" fillId="7" borderId="16" xfId="0" applyNumberFormat="1" applyFont="1" applyFill="1" applyBorder="1" applyAlignment="1">
      <alignment horizontal="center" wrapText="1"/>
    </xf>
    <xf numFmtId="1" fontId="5" fillId="7" borderId="16" xfId="0" applyNumberFormat="1" applyFont="1" applyFill="1" applyBorder="1" applyAlignment="1">
      <alignment horizontal="center" wrapText="1"/>
    </xf>
    <xf numFmtId="0" fontId="5" fillId="7" borderId="16" xfId="0" applyFont="1" applyFill="1" applyBorder="1" applyAlignment="1">
      <alignment horizontal="center" wrapText="1"/>
    </xf>
    <xf numFmtId="1" fontId="5" fillId="3" borderId="16" xfId="0" applyNumberFormat="1" applyFont="1" applyFill="1" applyBorder="1" applyAlignment="1">
      <alignment horizontal="center"/>
    </xf>
    <xf numFmtId="0" fontId="5" fillId="3" borderId="31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166" fontId="5" fillId="3" borderId="24" xfId="0" applyNumberFormat="1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167" fontId="5" fillId="7" borderId="7" xfId="0" applyNumberFormat="1" applyFont="1" applyFill="1" applyBorder="1" applyAlignment="1">
      <alignment horizontal="center" wrapText="1"/>
    </xf>
    <xf numFmtId="1" fontId="5" fillId="7" borderId="7" xfId="0" applyNumberFormat="1" applyFont="1" applyFill="1" applyBorder="1" applyAlignment="1">
      <alignment horizontal="center" wrapText="1"/>
    </xf>
    <xf numFmtId="0" fontId="5" fillId="7" borderId="7" xfId="0" applyFont="1" applyFill="1" applyBorder="1" applyAlignment="1">
      <alignment horizontal="center" wrapText="1"/>
    </xf>
    <xf numFmtId="1" fontId="5" fillId="3" borderId="7" xfId="0" applyNumberFormat="1" applyFont="1" applyFill="1" applyBorder="1" applyAlignment="1">
      <alignment horizontal="center"/>
    </xf>
    <xf numFmtId="0" fontId="5" fillId="3" borderId="28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166" fontId="5" fillId="3" borderId="22" xfId="0" applyNumberFormat="1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167" fontId="5" fillId="7" borderId="18" xfId="0" applyNumberFormat="1" applyFont="1" applyFill="1" applyBorder="1" applyAlignment="1">
      <alignment horizontal="center" wrapText="1"/>
    </xf>
    <xf numFmtId="1" fontId="5" fillId="7" borderId="18" xfId="0" applyNumberFormat="1" applyFont="1" applyFill="1" applyBorder="1" applyAlignment="1">
      <alignment horizontal="center" wrapText="1"/>
    </xf>
    <xf numFmtId="0" fontId="5" fillId="7" borderId="18" xfId="0" applyFont="1" applyFill="1" applyBorder="1" applyAlignment="1">
      <alignment horizontal="center" wrapText="1"/>
    </xf>
    <xf numFmtId="1" fontId="5" fillId="3" borderId="18" xfId="0" applyNumberFormat="1" applyFont="1" applyFill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166" fontId="5" fillId="3" borderId="25" xfId="0" applyNumberFormat="1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67" fontId="5" fillId="6" borderId="5" xfId="0" applyNumberFormat="1" applyFont="1" applyFill="1" applyBorder="1" applyAlignment="1">
      <alignment horizontal="center" wrapText="1"/>
    </xf>
    <xf numFmtId="1" fontId="5" fillId="6" borderId="5" xfId="0" applyNumberFormat="1" applyFont="1" applyFill="1" applyBorder="1" applyAlignment="1">
      <alignment horizontal="center" wrapText="1"/>
    </xf>
    <xf numFmtId="0" fontId="5" fillId="6" borderId="5" xfId="0" applyFont="1" applyFill="1" applyBorder="1" applyAlignment="1">
      <alignment horizontal="center" wrapText="1"/>
    </xf>
    <xf numFmtId="0" fontId="5" fillId="6" borderId="7" xfId="0" applyFont="1" applyFill="1" applyBorder="1" applyAlignment="1">
      <alignment horizontal="center" wrapText="1"/>
    </xf>
    <xf numFmtId="1" fontId="5" fillId="4" borderId="5" xfId="0" applyNumberFormat="1" applyFont="1" applyFill="1" applyBorder="1" applyAlignment="1">
      <alignment horizontal="center"/>
    </xf>
    <xf numFmtId="0" fontId="5" fillId="4" borderId="29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166" fontId="5" fillId="4" borderId="21" xfId="0" applyNumberFormat="1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167" fontId="5" fillId="6" borderId="7" xfId="0" applyNumberFormat="1" applyFont="1" applyFill="1" applyBorder="1" applyAlignment="1">
      <alignment horizontal="center" wrapText="1"/>
    </xf>
    <xf numFmtId="1" fontId="5" fillId="6" borderId="7" xfId="0" applyNumberFormat="1" applyFont="1" applyFill="1" applyBorder="1" applyAlignment="1">
      <alignment horizontal="center" wrapText="1"/>
    </xf>
    <xf numFmtId="1" fontId="5" fillId="4" borderId="7" xfId="0" applyNumberFormat="1" applyFont="1" applyFill="1" applyBorder="1" applyAlignment="1">
      <alignment horizontal="center"/>
    </xf>
    <xf numFmtId="0" fontId="5" fillId="4" borderId="28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166" fontId="5" fillId="4" borderId="22" xfId="0" applyNumberFormat="1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0" fontId="5" fillId="11" borderId="7" xfId="0" applyFont="1" applyFill="1" applyBorder="1" applyAlignment="1">
      <alignment horizontal="center"/>
    </xf>
    <xf numFmtId="167" fontId="5" fillId="14" borderId="7" xfId="0" applyNumberFormat="1" applyFont="1" applyFill="1" applyBorder="1" applyAlignment="1">
      <alignment horizontal="center" wrapText="1"/>
    </xf>
    <xf numFmtId="1" fontId="5" fillId="14" borderId="7" xfId="0" applyNumberFormat="1" applyFont="1" applyFill="1" applyBorder="1" applyAlignment="1">
      <alignment horizontal="center" wrapText="1"/>
    </xf>
    <xf numFmtId="0" fontId="5" fillId="14" borderId="7" xfId="0" applyFont="1" applyFill="1" applyBorder="1" applyAlignment="1">
      <alignment horizontal="center" wrapText="1"/>
    </xf>
    <xf numFmtId="164" fontId="5" fillId="14" borderId="7" xfId="0" applyNumberFormat="1" applyFont="1" applyFill="1" applyBorder="1" applyAlignment="1">
      <alignment horizontal="center" wrapText="1"/>
    </xf>
    <xf numFmtId="0" fontId="5" fillId="11" borderId="28" xfId="0" applyFont="1" applyFill="1" applyBorder="1" applyAlignment="1">
      <alignment horizontal="center"/>
    </xf>
    <xf numFmtId="0" fontId="5" fillId="11" borderId="8" xfId="0" applyFont="1" applyFill="1" applyBorder="1" applyAlignment="1">
      <alignment horizontal="center"/>
    </xf>
    <xf numFmtId="166" fontId="5" fillId="11" borderId="22" xfId="0" applyNumberFormat="1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 wrapText="1"/>
    </xf>
    <xf numFmtId="0" fontId="5" fillId="6" borderId="8" xfId="0" applyFont="1" applyFill="1" applyBorder="1" applyAlignment="1">
      <alignment horizontal="center" wrapText="1"/>
    </xf>
    <xf numFmtId="166" fontId="5" fillId="6" borderId="22" xfId="0" applyNumberFormat="1" applyFont="1" applyFill="1" applyBorder="1" applyAlignment="1">
      <alignment horizontal="center" wrapText="1"/>
    </xf>
    <xf numFmtId="0" fontId="5" fillId="4" borderId="14" xfId="0" applyFont="1" applyFill="1" applyBorder="1" applyAlignment="1">
      <alignment horizontal="center"/>
    </xf>
    <xf numFmtId="167" fontId="5" fillId="6" borderId="14" xfId="0" applyNumberFormat="1" applyFont="1" applyFill="1" applyBorder="1" applyAlignment="1">
      <alignment horizontal="center" wrapText="1"/>
    </xf>
    <xf numFmtId="1" fontId="5" fillId="6" borderId="14" xfId="0" applyNumberFormat="1" applyFont="1" applyFill="1" applyBorder="1" applyAlignment="1">
      <alignment horizontal="center" wrapText="1"/>
    </xf>
    <xf numFmtId="0" fontId="5" fillId="6" borderId="14" xfId="0" applyFont="1" applyFill="1" applyBorder="1" applyAlignment="1">
      <alignment horizontal="center" wrapText="1"/>
    </xf>
    <xf numFmtId="1" fontId="5" fillId="4" borderId="14" xfId="0" applyNumberFormat="1" applyFont="1" applyFill="1" applyBorder="1" applyAlignment="1">
      <alignment horizontal="center"/>
    </xf>
    <xf numFmtId="0" fontId="5" fillId="4" borderId="30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166" fontId="5" fillId="4" borderId="23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10" borderId="20" xfId="0" applyFont="1" applyFill="1" applyBorder="1" applyAlignment="1">
      <alignment horizontal="center"/>
    </xf>
    <xf numFmtId="0" fontId="5" fillId="10" borderId="26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10" borderId="1" xfId="0" applyFont="1" applyFill="1" applyBorder="1"/>
    <xf numFmtId="0" fontId="4" fillId="5" borderId="33" xfId="0" applyFont="1" applyFill="1" applyBorder="1" applyAlignment="1">
      <alignment horizontal="center" vertical="center" wrapText="1"/>
    </xf>
    <xf numFmtId="0" fontId="4" fillId="5" borderId="34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166" fontId="4" fillId="5" borderId="36" xfId="0" applyNumberFormat="1" applyFont="1" applyFill="1" applyBorder="1" applyAlignment="1">
      <alignment horizontal="center" vertical="center" wrapText="1"/>
    </xf>
    <xf numFmtId="166" fontId="5" fillId="12" borderId="21" xfId="0" applyNumberFormat="1" applyFont="1" applyFill="1" applyBorder="1" applyAlignment="1">
      <alignment horizontal="center"/>
    </xf>
    <xf numFmtId="166" fontId="5" fillId="12" borderId="45" xfId="0" applyNumberFormat="1" applyFont="1" applyFill="1" applyBorder="1" applyAlignment="1">
      <alignment horizontal="center"/>
    </xf>
    <xf numFmtId="166" fontId="5" fillId="10" borderId="20" xfId="0" applyNumberFormat="1" applyFont="1" applyFill="1" applyBorder="1" applyAlignment="1">
      <alignment horizontal="center"/>
    </xf>
    <xf numFmtId="166" fontId="5" fillId="10" borderId="0" xfId="0" applyNumberFormat="1" applyFont="1" applyFill="1" applyAlignment="1">
      <alignment horizontal="center"/>
    </xf>
    <xf numFmtId="166" fontId="5" fillId="10" borderId="0" xfId="0" applyNumberFormat="1" applyFont="1" applyFill="1"/>
    <xf numFmtId="166" fontId="0" fillId="10" borderId="0" xfId="0" applyNumberFormat="1" applyFill="1" applyAlignment="1">
      <alignment horizontal="center"/>
    </xf>
    <xf numFmtId="0" fontId="6" fillId="12" borderId="5" xfId="0" applyFont="1" applyFill="1" applyBorder="1" applyAlignment="1">
      <alignment horizontal="center"/>
    </xf>
    <xf numFmtId="167" fontId="6" fillId="12" borderId="5" xfId="0" applyNumberFormat="1" applyFont="1" applyFill="1" applyBorder="1" applyAlignment="1">
      <alignment horizontal="center"/>
    </xf>
    <xf numFmtId="1" fontId="6" fillId="12" borderId="5" xfId="0" applyNumberFormat="1" applyFont="1" applyFill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1" fontId="6" fillId="12" borderId="38" xfId="0" applyNumberFormat="1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39" xfId="0" applyFont="1" applyFill="1" applyBorder="1" applyAlignment="1">
      <alignment horizontal="center"/>
    </xf>
    <xf numFmtId="166" fontId="6" fillId="12" borderId="21" xfId="0" applyNumberFormat="1" applyFont="1" applyFill="1" applyBorder="1" applyAlignment="1">
      <alignment horizontal="center"/>
    </xf>
    <xf numFmtId="166" fontId="6" fillId="12" borderId="24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5" fillId="16" borderId="7" xfId="0" applyFont="1" applyFill="1" applyBorder="1" applyAlignment="1">
      <alignment horizontal="center"/>
    </xf>
    <xf numFmtId="0" fontId="5" fillId="21" borderId="7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21" borderId="16" xfId="0" applyFont="1" applyFill="1" applyBorder="1" applyAlignment="1">
      <alignment horizontal="center"/>
    </xf>
    <xf numFmtId="0" fontId="5" fillId="16" borderId="18" xfId="0" applyFont="1" applyFill="1" applyBorder="1" applyAlignment="1">
      <alignment horizontal="center"/>
    </xf>
    <xf numFmtId="0" fontId="5" fillId="23" borderId="7" xfId="0" applyFont="1" applyFill="1" applyBorder="1" applyAlignment="1">
      <alignment horizontal="center"/>
    </xf>
    <xf numFmtId="0" fontId="5" fillId="23" borderId="14" xfId="0" applyFont="1" applyFill="1" applyBorder="1" applyAlignment="1">
      <alignment horizontal="center"/>
    </xf>
    <xf numFmtId="0" fontId="5" fillId="23" borderId="5" xfId="0" applyFont="1" applyFill="1" applyBorder="1" applyAlignment="1">
      <alignment horizontal="center"/>
    </xf>
    <xf numFmtId="0" fontId="5" fillId="24" borderId="16" xfId="0" applyFont="1" applyFill="1" applyBorder="1" applyAlignment="1">
      <alignment horizontal="center"/>
    </xf>
    <xf numFmtId="0" fontId="5" fillId="24" borderId="7" xfId="0" applyFont="1" applyFill="1" applyBorder="1" applyAlignment="1">
      <alignment horizontal="center"/>
    </xf>
    <xf numFmtId="0" fontId="5" fillId="24" borderId="18" xfId="0" applyFont="1" applyFill="1" applyBorder="1" applyAlignment="1">
      <alignment horizontal="center"/>
    </xf>
    <xf numFmtId="0" fontId="5" fillId="25" borderId="7" xfId="0" applyFont="1" applyFill="1" applyBorder="1" applyAlignment="1">
      <alignment horizontal="center"/>
    </xf>
    <xf numFmtId="0" fontId="5" fillId="25" borderId="7" xfId="0" applyFont="1" applyFill="1" applyBorder="1" applyAlignment="1">
      <alignment horizontal="center" wrapText="1"/>
    </xf>
    <xf numFmtId="0" fontId="5" fillId="26" borderId="7" xfId="0" applyFont="1" applyFill="1" applyBorder="1" applyAlignment="1">
      <alignment horizontal="center"/>
    </xf>
    <xf numFmtId="167" fontId="5" fillId="25" borderId="7" xfId="0" applyNumberFormat="1" applyFont="1" applyFill="1" applyBorder="1" applyAlignment="1">
      <alignment horizontal="center" wrapText="1"/>
    </xf>
    <xf numFmtId="1" fontId="5" fillId="25" borderId="7" xfId="0" applyNumberFormat="1" applyFont="1" applyFill="1" applyBorder="1" applyAlignment="1">
      <alignment horizontal="center" wrapText="1"/>
    </xf>
    <xf numFmtId="0" fontId="5" fillId="26" borderId="5" xfId="0" applyFont="1" applyFill="1" applyBorder="1" applyAlignment="1">
      <alignment horizontal="center"/>
    </xf>
    <xf numFmtId="1" fontId="5" fillId="26" borderId="7" xfId="0" applyNumberFormat="1" applyFont="1" applyFill="1" applyBorder="1" applyAlignment="1">
      <alignment horizontal="center"/>
    </xf>
    <xf numFmtId="0" fontId="5" fillId="26" borderId="28" xfId="0" applyFont="1" applyFill="1" applyBorder="1" applyAlignment="1">
      <alignment horizontal="center"/>
    </xf>
    <xf numFmtId="0" fontId="5" fillId="26" borderId="8" xfId="0" applyFont="1" applyFill="1" applyBorder="1" applyAlignment="1">
      <alignment horizontal="center"/>
    </xf>
    <xf numFmtId="166" fontId="5" fillId="26" borderId="22" xfId="0" applyNumberFormat="1" applyFont="1" applyFill="1" applyBorder="1" applyAlignment="1">
      <alignment horizontal="center"/>
    </xf>
    <xf numFmtId="166" fontId="4" fillId="5" borderId="33" xfId="0" applyNumberFormat="1" applyFont="1" applyFill="1" applyBorder="1" applyAlignment="1">
      <alignment horizontal="center" vertical="center" wrapText="1"/>
    </xf>
    <xf numFmtId="166" fontId="5" fillId="12" borderId="16" xfId="0" applyNumberFormat="1" applyFont="1" applyFill="1" applyBorder="1" applyAlignment="1">
      <alignment horizontal="center"/>
    </xf>
    <xf numFmtId="166" fontId="6" fillId="12" borderId="5" xfId="0" applyNumberFormat="1" applyFont="1" applyFill="1" applyBorder="1" applyAlignment="1">
      <alignment horizontal="center"/>
    </xf>
    <xf numFmtId="166" fontId="5" fillId="12" borderId="5" xfId="0" applyNumberFormat="1" applyFont="1" applyFill="1" applyBorder="1" applyAlignment="1">
      <alignment horizontal="center"/>
    </xf>
    <xf numFmtId="166" fontId="5" fillId="12" borderId="41" xfId="0" applyNumberFormat="1" applyFont="1" applyFill="1" applyBorder="1" applyAlignment="1">
      <alignment horizontal="center"/>
    </xf>
    <xf numFmtId="166" fontId="5" fillId="19" borderId="16" xfId="0" applyNumberFormat="1" applyFont="1" applyFill="1" applyBorder="1" applyAlignment="1">
      <alignment horizontal="center" wrapText="1"/>
    </xf>
    <xf numFmtId="166" fontId="5" fillId="19" borderId="7" xfId="0" applyNumberFormat="1" applyFont="1" applyFill="1" applyBorder="1" applyAlignment="1">
      <alignment horizontal="center" wrapText="1"/>
    </xf>
    <xf numFmtId="166" fontId="5" fillId="19" borderId="18" xfId="0" applyNumberFormat="1" applyFont="1" applyFill="1" applyBorder="1" applyAlignment="1">
      <alignment horizontal="center" wrapText="1"/>
    </xf>
    <xf numFmtId="166" fontId="5" fillId="18" borderId="5" xfId="0" applyNumberFormat="1" applyFont="1" applyFill="1" applyBorder="1" applyAlignment="1">
      <alignment horizontal="center" wrapText="1"/>
    </xf>
    <xf numFmtId="166" fontId="5" fillId="15" borderId="18" xfId="0" applyNumberFormat="1" applyFont="1" applyFill="1" applyBorder="1" applyAlignment="1">
      <alignment horizontal="center"/>
    </xf>
    <xf numFmtId="166" fontId="5" fillId="2" borderId="5" xfId="0" applyNumberFormat="1" applyFont="1" applyFill="1" applyBorder="1" applyAlignment="1">
      <alignment horizontal="center"/>
    </xf>
    <xf numFmtId="166" fontId="5" fillId="2" borderId="7" xfId="0" applyNumberFormat="1" applyFont="1" applyFill="1" applyBorder="1" applyAlignment="1">
      <alignment horizontal="center"/>
    </xf>
    <xf numFmtId="166" fontId="5" fillId="8" borderId="7" xfId="0" applyNumberFormat="1" applyFont="1" applyFill="1" applyBorder="1" applyAlignment="1">
      <alignment horizontal="center" wrapText="1"/>
    </xf>
    <xf numFmtId="166" fontId="5" fillId="8" borderId="14" xfId="0" applyNumberFormat="1" applyFont="1" applyFill="1" applyBorder="1" applyAlignment="1">
      <alignment horizontal="center" wrapText="1"/>
    </xf>
    <xf numFmtId="166" fontId="5" fillId="7" borderId="16" xfId="0" applyNumberFormat="1" applyFont="1" applyFill="1" applyBorder="1" applyAlignment="1">
      <alignment horizontal="center" wrapText="1"/>
    </xf>
    <xf numFmtId="166" fontId="5" fillId="7" borderId="7" xfId="0" applyNumberFormat="1" applyFont="1" applyFill="1" applyBorder="1" applyAlignment="1">
      <alignment horizontal="center" wrapText="1"/>
    </xf>
    <xf numFmtId="166" fontId="5" fillId="7" borderId="18" xfId="0" applyNumberFormat="1" applyFont="1" applyFill="1" applyBorder="1" applyAlignment="1">
      <alignment horizontal="center" wrapText="1"/>
    </xf>
    <xf numFmtId="166" fontId="5" fillId="6" borderId="5" xfId="0" applyNumberFormat="1" applyFont="1" applyFill="1" applyBorder="1" applyAlignment="1">
      <alignment horizontal="center" wrapText="1"/>
    </xf>
    <xf numFmtId="166" fontId="5" fillId="6" borderId="7" xfId="0" applyNumberFormat="1" applyFont="1" applyFill="1" applyBorder="1" applyAlignment="1">
      <alignment horizontal="center" wrapText="1"/>
    </xf>
    <xf numFmtId="166" fontId="5" fillId="14" borderId="7" xfId="0" applyNumberFormat="1" applyFont="1" applyFill="1" applyBorder="1" applyAlignment="1">
      <alignment horizontal="center" wrapText="1"/>
    </xf>
    <xf numFmtId="166" fontId="5" fillId="6" borderId="14" xfId="0" applyNumberFormat="1" applyFont="1" applyFill="1" applyBorder="1" applyAlignment="1">
      <alignment horizontal="center" wrapText="1"/>
    </xf>
    <xf numFmtId="166" fontId="5" fillId="21" borderId="16" xfId="0" applyNumberFormat="1" applyFont="1" applyFill="1" applyBorder="1" applyAlignment="1">
      <alignment horizontal="center" wrapText="1"/>
    </xf>
    <xf numFmtId="166" fontId="5" fillId="21" borderId="5" xfId="0" applyNumberFormat="1" applyFont="1" applyFill="1" applyBorder="1" applyAlignment="1">
      <alignment horizontal="center" wrapText="1"/>
    </xf>
    <xf numFmtId="166" fontId="5" fillId="16" borderId="5" xfId="0" applyNumberFormat="1" applyFont="1" applyFill="1" applyBorder="1" applyAlignment="1">
      <alignment horizontal="center" wrapText="1"/>
    </xf>
    <xf numFmtId="166" fontId="5" fillId="16" borderId="7" xfId="0" applyNumberFormat="1" applyFont="1" applyFill="1" applyBorder="1" applyAlignment="1">
      <alignment horizontal="center" wrapText="1"/>
    </xf>
    <xf numFmtId="166" fontId="5" fillId="25" borderId="7" xfId="0" applyNumberFormat="1" applyFont="1" applyFill="1" applyBorder="1" applyAlignment="1">
      <alignment horizontal="center" wrapText="1"/>
    </xf>
    <xf numFmtId="166" fontId="5" fillId="16" borderId="18" xfId="0" applyNumberFormat="1" applyFont="1" applyFill="1" applyBorder="1" applyAlignment="1">
      <alignment horizontal="center" wrapText="1"/>
    </xf>
    <xf numFmtId="166" fontId="5" fillId="10" borderId="0" xfId="0" applyNumberFormat="1" applyFont="1" applyFill="1" applyAlignment="1">
      <alignment horizontal="center" vertical="center"/>
    </xf>
    <xf numFmtId="0" fontId="1" fillId="0" borderId="0" xfId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2" fontId="4" fillId="5" borderId="36" xfId="0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25" borderId="16" xfId="0" applyFont="1" applyFill="1" applyBorder="1" applyAlignment="1">
      <alignment horizontal="center"/>
    </xf>
    <xf numFmtId="0" fontId="5" fillId="25" borderId="5" xfId="0" applyFont="1" applyFill="1" applyBorder="1" applyAlignment="1">
      <alignment horizontal="center"/>
    </xf>
    <xf numFmtId="0" fontId="5" fillId="26" borderId="16" xfId="0" applyFont="1" applyFill="1" applyBorder="1" applyAlignment="1">
      <alignment horizontal="center"/>
    </xf>
    <xf numFmtId="167" fontId="5" fillId="25" borderId="16" xfId="0" applyNumberFormat="1" applyFont="1" applyFill="1" applyBorder="1" applyAlignment="1">
      <alignment horizontal="center" wrapText="1"/>
    </xf>
    <xf numFmtId="166" fontId="5" fillId="25" borderId="16" xfId="0" applyNumberFormat="1" applyFont="1" applyFill="1" applyBorder="1" applyAlignment="1">
      <alignment horizontal="center" wrapText="1"/>
    </xf>
    <xf numFmtId="1" fontId="5" fillId="25" borderId="16" xfId="0" applyNumberFormat="1" applyFont="1" applyFill="1" applyBorder="1" applyAlignment="1">
      <alignment horizontal="center" wrapText="1"/>
    </xf>
    <xf numFmtId="0" fontId="5" fillId="25" borderId="16" xfId="0" applyFont="1" applyFill="1" applyBorder="1" applyAlignment="1">
      <alignment horizontal="center" wrapText="1"/>
    </xf>
    <xf numFmtId="1" fontId="5" fillId="26" borderId="16" xfId="0" applyNumberFormat="1" applyFont="1" applyFill="1" applyBorder="1" applyAlignment="1">
      <alignment horizontal="center"/>
    </xf>
    <xf numFmtId="0" fontId="5" fillId="26" borderId="31" xfId="0" applyFont="1" applyFill="1" applyBorder="1" applyAlignment="1">
      <alignment horizontal="center"/>
    </xf>
    <xf numFmtId="0" fontId="5" fillId="26" borderId="17" xfId="0" applyFont="1" applyFill="1" applyBorder="1" applyAlignment="1">
      <alignment horizontal="center"/>
    </xf>
    <xf numFmtId="166" fontId="5" fillId="26" borderId="24" xfId="0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2" fontId="5" fillId="10" borderId="20" xfId="0" applyNumberFormat="1" applyFont="1" applyFill="1" applyBorder="1" applyAlignment="1">
      <alignment horizontal="center"/>
    </xf>
    <xf numFmtId="2" fontId="5" fillId="10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22" borderId="0" xfId="0" applyFill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1" fillId="10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0" fillId="10" borderId="0" xfId="0" applyFill="1"/>
    <xf numFmtId="0" fontId="5" fillId="12" borderId="33" xfId="0" applyFont="1" applyFill="1" applyBorder="1" applyAlignment="1">
      <alignment horizontal="center" vertical="center" textRotation="90"/>
    </xf>
    <xf numFmtId="0" fontId="5" fillId="13" borderId="33" xfId="0" applyFont="1" applyFill="1" applyBorder="1" applyAlignment="1">
      <alignment horizontal="center" vertical="center" textRotation="90"/>
    </xf>
    <xf numFmtId="0" fontId="5" fillId="3" borderId="33" xfId="0" applyFont="1" applyFill="1" applyBorder="1" applyAlignment="1">
      <alignment horizontal="center" vertical="center" textRotation="90"/>
    </xf>
    <xf numFmtId="0" fontId="5" fillId="9" borderId="33" xfId="0" applyFont="1" applyFill="1" applyBorder="1" applyAlignment="1">
      <alignment horizontal="center" vertical="center" textRotation="90"/>
    </xf>
    <xf numFmtId="0" fontId="5" fillId="2" borderId="33" xfId="0" applyFont="1" applyFill="1" applyBorder="1" applyAlignment="1">
      <alignment horizontal="center" vertical="center" textRotation="90"/>
    </xf>
    <xf numFmtId="0" fontId="5" fillId="15" borderId="33" xfId="0" applyFont="1" applyFill="1" applyBorder="1" applyAlignment="1">
      <alignment horizontal="center" vertical="center" textRotation="90" wrapText="1"/>
    </xf>
    <xf numFmtId="0" fontId="5" fillId="4" borderId="46" xfId="0" applyFont="1" applyFill="1" applyBorder="1" applyAlignment="1">
      <alignment horizontal="center" vertical="center" textRotation="90"/>
    </xf>
    <xf numFmtId="0" fontId="5" fillId="4" borderId="47" xfId="0" applyFont="1" applyFill="1" applyBorder="1" applyAlignment="1">
      <alignment horizontal="center" vertical="center" textRotation="90"/>
    </xf>
    <xf numFmtId="0" fontId="5" fillId="4" borderId="41" xfId="0" applyFont="1" applyFill="1" applyBorder="1" applyAlignment="1">
      <alignment horizontal="center" vertical="center" textRotation="90"/>
    </xf>
    <xf numFmtId="0" fontId="7" fillId="0" borderId="0" xfId="1" applyFont="1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D987BBCC-AC19-4DE6-AD4E-C17DB6A32E4D}"/>
  </cellStyles>
  <dxfs count="0"/>
  <tableStyles count="0" defaultTableStyle="TableStyleMedium2" defaultPivotStyle="PivotStyleLight16"/>
  <colors>
    <mruColors>
      <color rgb="FFCCFF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2</xdr:row>
      <xdr:rowOff>66674</xdr:rowOff>
    </xdr:from>
    <xdr:ext cx="9684740" cy="5229225"/>
    <xdr:pic>
      <xdr:nvPicPr>
        <xdr:cNvPr id="2" name="Picture 1">
          <a:extLst>
            <a:ext uri="{FF2B5EF4-FFF2-40B4-BE49-F238E27FC236}">
              <a16:creationId xmlns:a16="http://schemas.microsoft.com/office/drawing/2014/main" id="{1023C97E-E6BF-434C-8636-E046AFE68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90524"/>
          <a:ext cx="9684740" cy="52292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9525-E545-42E6-8F87-2261CC77D4B7}">
  <dimension ref="A1:P83"/>
  <sheetViews>
    <sheetView topLeftCell="A6" zoomScaleNormal="100" zoomScaleSheetLayoutView="100" workbookViewId="0">
      <selection activeCell="K72" sqref="K72"/>
    </sheetView>
  </sheetViews>
  <sheetFormatPr defaultColWidth="9.140625" defaultRowHeight="14.25" x14ac:dyDescent="0.2"/>
  <cols>
    <col min="1" max="1" width="9.140625" style="4"/>
    <col min="2" max="2" width="5.85546875" style="4" customWidth="1"/>
    <col min="3" max="3" width="8.42578125" style="4" customWidth="1"/>
    <col min="4" max="4" width="8.7109375" style="4" customWidth="1"/>
    <col min="5" max="5" width="8.5703125" style="4" customWidth="1"/>
    <col min="6" max="6" width="9.5703125" style="23" customWidth="1"/>
    <col min="7" max="7" width="8" style="4" customWidth="1"/>
    <col min="8" max="8" width="12.140625" style="4" customWidth="1"/>
    <col min="9" max="9" width="15.5703125" style="10" customWidth="1"/>
    <col min="10" max="10" width="7" style="4" customWidth="1"/>
    <col min="11" max="11" width="19.85546875" style="4" bestFit="1" customWidth="1"/>
    <col min="12" max="13" width="8.28515625" style="4" customWidth="1"/>
    <col min="14" max="14" width="8.28515625" style="23" customWidth="1"/>
    <col min="15" max="15" width="7.7109375" style="226" customWidth="1"/>
    <col min="16" max="16" width="7.140625" style="4" customWidth="1"/>
    <col min="17" max="16384" width="9.140625" style="4"/>
  </cols>
  <sheetData>
    <row r="1" spans="1:16" ht="15" thickBot="1" x14ac:dyDescent="0.25">
      <c r="A1" s="1"/>
      <c r="B1" s="2"/>
      <c r="C1" s="2"/>
      <c r="D1" s="2"/>
      <c r="E1" s="2"/>
      <c r="F1" s="231"/>
      <c r="G1" s="2"/>
      <c r="H1" s="2"/>
      <c r="I1" s="9"/>
      <c r="J1" s="2"/>
      <c r="K1" s="2"/>
      <c r="L1" s="2"/>
      <c r="M1" s="2"/>
      <c r="N1" s="231"/>
      <c r="P1" s="3"/>
    </row>
    <row r="2" spans="1:16" ht="36" customHeight="1" thickBot="1" x14ac:dyDescent="0.25">
      <c r="A2" s="5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32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232" t="s">
        <v>11</v>
      </c>
      <c r="O2" s="60"/>
      <c r="P2" s="3"/>
    </row>
    <row r="3" spans="1:16" ht="19.5" customHeight="1" thickBot="1" x14ac:dyDescent="0.25">
      <c r="A3" s="5"/>
      <c r="B3" s="61">
        <v>2026</v>
      </c>
      <c r="C3" s="61">
        <v>1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4" t="s">
        <v>25</v>
      </c>
      <c r="P3" s="3"/>
    </row>
    <row r="4" spans="1:16" ht="19.5" customHeight="1" thickBot="1" x14ac:dyDescent="0.25">
      <c r="A4" s="5"/>
      <c r="B4" s="67">
        <v>2026</v>
      </c>
      <c r="C4" s="68">
        <v>1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4"/>
      <c r="P4" s="3"/>
    </row>
    <row r="5" spans="1:16" ht="19.5" customHeight="1" thickBot="1" x14ac:dyDescent="0.25">
      <c r="A5" s="5"/>
      <c r="B5" s="67">
        <v>2026</v>
      </c>
      <c r="C5" s="68">
        <v>1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4"/>
      <c r="P5" s="3"/>
    </row>
    <row r="6" spans="1:16" ht="19.5" customHeight="1" thickBot="1" x14ac:dyDescent="0.25">
      <c r="A6" s="5"/>
      <c r="B6" s="67">
        <v>2026</v>
      </c>
      <c r="C6" s="68">
        <v>1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4"/>
      <c r="P6" s="3"/>
    </row>
    <row r="7" spans="1:16" ht="19.5" customHeight="1" thickBot="1" x14ac:dyDescent="0.25">
      <c r="A7" s="5"/>
      <c r="B7" s="67">
        <v>2026</v>
      </c>
      <c r="C7" s="68">
        <v>1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4"/>
      <c r="P7" s="3"/>
    </row>
    <row r="8" spans="1:16" ht="19.5" customHeight="1" thickBot="1" x14ac:dyDescent="0.25">
      <c r="A8" s="5"/>
      <c r="B8" s="67">
        <v>2026</v>
      </c>
      <c r="C8" s="68">
        <v>1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4"/>
      <c r="P8" s="3"/>
    </row>
    <row r="9" spans="1:16" ht="19.5" customHeight="1" thickBot="1" x14ac:dyDescent="0.25">
      <c r="A9" s="5"/>
      <c r="B9" s="67">
        <v>2026</v>
      </c>
      <c r="C9" s="68">
        <v>1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4"/>
      <c r="P9" s="3"/>
    </row>
    <row r="10" spans="1:16" ht="19.5" customHeight="1" thickBot="1" x14ac:dyDescent="0.25">
      <c r="A10" s="5"/>
      <c r="B10" s="67">
        <v>2026</v>
      </c>
      <c r="C10" s="68">
        <v>1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4"/>
      <c r="P10" s="3"/>
    </row>
    <row r="11" spans="1:16" ht="19.5" customHeight="1" thickBot="1" x14ac:dyDescent="0.25">
      <c r="A11" s="5"/>
      <c r="B11" s="67">
        <v>2026</v>
      </c>
      <c r="C11" s="68">
        <v>1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4"/>
      <c r="P11" s="3"/>
    </row>
    <row r="12" spans="1:16" ht="19.5" customHeight="1" thickBot="1" x14ac:dyDescent="0.25">
      <c r="A12" s="5"/>
      <c r="B12" s="67">
        <v>2026</v>
      </c>
      <c r="C12" s="68">
        <v>1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4"/>
      <c r="P12" s="3"/>
    </row>
    <row r="13" spans="1:16" ht="19.5" customHeight="1" thickBot="1" x14ac:dyDescent="0.25">
      <c r="A13" s="5"/>
      <c r="B13" s="67">
        <v>2026</v>
      </c>
      <c r="C13" s="68">
        <v>1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4"/>
      <c r="P13" s="3"/>
    </row>
    <row r="14" spans="1:16" ht="19.5" customHeight="1" thickBot="1" x14ac:dyDescent="0.25">
      <c r="A14" s="5"/>
      <c r="B14" s="67">
        <v>2026</v>
      </c>
      <c r="C14" s="68">
        <v>1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4"/>
      <c r="P14" s="3"/>
    </row>
    <row r="15" spans="1:16" ht="19.5" customHeight="1" thickBot="1" x14ac:dyDescent="0.25">
      <c r="A15" s="5"/>
      <c r="B15" s="75">
        <v>2026</v>
      </c>
      <c r="C15" s="68">
        <v>1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4"/>
      <c r="P15" s="3"/>
    </row>
    <row r="16" spans="1:16" ht="19.5" customHeight="1" thickBot="1" x14ac:dyDescent="0.25">
      <c r="A16" s="5"/>
      <c r="B16" s="81">
        <v>2026</v>
      </c>
      <c r="C16" s="82">
        <v>1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35" t="s">
        <v>18</v>
      </c>
      <c r="P16" s="3"/>
    </row>
    <row r="17" spans="1:16" ht="19.5" customHeight="1" thickBot="1" x14ac:dyDescent="0.25">
      <c r="A17" s="5"/>
      <c r="B17" s="89">
        <v>2026</v>
      </c>
      <c r="C17" s="89">
        <v>1</v>
      </c>
      <c r="D17" s="90">
        <v>342</v>
      </c>
      <c r="E17" s="91">
        <v>46099</v>
      </c>
      <c r="F17" s="276">
        <v>23.7</v>
      </c>
      <c r="G17" s="92">
        <v>48</v>
      </c>
      <c r="H17" s="90">
        <v>3</v>
      </c>
      <c r="I17" s="90" t="s">
        <v>28</v>
      </c>
      <c r="J17" s="93">
        <v>6</v>
      </c>
      <c r="K17" s="93" t="s">
        <v>29</v>
      </c>
      <c r="L17" s="94">
        <v>8</v>
      </c>
      <c r="M17" s="95">
        <v>15</v>
      </c>
      <c r="N17" s="96">
        <v>11</v>
      </c>
      <c r="O17" s="335"/>
      <c r="P17" s="3"/>
    </row>
    <row r="18" spans="1:16" ht="19.5" customHeight="1" thickBot="1" x14ac:dyDescent="0.25">
      <c r="A18" s="5"/>
      <c r="B18" s="89">
        <v>2026</v>
      </c>
      <c r="C18" s="89">
        <v>1</v>
      </c>
      <c r="D18" s="90">
        <v>343</v>
      </c>
      <c r="E18" s="91">
        <v>46099</v>
      </c>
      <c r="F18" s="276">
        <v>39.1</v>
      </c>
      <c r="G18" s="92">
        <v>41</v>
      </c>
      <c r="H18" s="90">
        <v>3</v>
      </c>
      <c r="I18" s="90" t="s">
        <v>28</v>
      </c>
      <c r="J18" s="93">
        <v>41</v>
      </c>
      <c r="K18" s="93" t="s">
        <v>29</v>
      </c>
      <c r="L18" s="94">
        <v>7</v>
      </c>
      <c r="M18" s="95">
        <v>21</v>
      </c>
      <c r="N18" s="96">
        <v>10.9473684210526</v>
      </c>
      <c r="O18" s="335"/>
      <c r="P18" s="3"/>
    </row>
    <row r="19" spans="1:16" ht="19.5" customHeight="1" thickBot="1" x14ac:dyDescent="0.25">
      <c r="A19" s="5"/>
      <c r="B19" s="89">
        <v>2026</v>
      </c>
      <c r="C19" s="89">
        <v>1</v>
      </c>
      <c r="D19" s="90">
        <v>344</v>
      </c>
      <c r="E19" s="91">
        <v>46099</v>
      </c>
      <c r="F19" s="276">
        <v>27.9</v>
      </c>
      <c r="G19" s="92">
        <v>32</v>
      </c>
      <c r="H19" s="90">
        <v>3</v>
      </c>
      <c r="I19" s="90" t="s">
        <v>28</v>
      </c>
      <c r="J19" s="93">
        <v>223</v>
      </c>
      <c r="K19" s="93" t="s">
        <v>29</v>
      </c>
      <c r="L19" s="94">
        <v>9</v>
      </c>
      <c r="M19" s="95">
        <v>25</v>
      </c>
      <c r="N19" s="96">
        <v>12.137755102040799</v>
      </c>
      <c r="O19" s="335"/>
      <c r="P19" s="3"/>
    </row>
    <row r="20" spans="1:16" ht="19.5" customHeight="1" thickBot="1" x14ac:dyDescent="0.25">
      <c r="A20" s="5"/>
      <c r="B20" s="89">
        <v>2026</v>
      </c>
      <c r="C20" s="89">
        <v>1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35"/>
      <c r="P20" s="3"/>
    </row>
    <row r="21" spans="1:16" ht="19.5" customHeight="1" thickBot="1" x14ac:dyDescent="0.25">
      <c r="A21" s="5"/>
      <c r="B21" s="97">
        <v>2026</v>
      </c>
      <c r="C21" s="98">
        <v>1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35"/>
      <c r="P21" s="3"/>
    </row>
    <row r="22" spans="1:16" ht="19.5" customHeight="1" thickBot="1" x14ac:dyDescent="0.25">
      <c r="A22" s="5"/>
      <c r="B22" s="106">
        <v>2026</v>
      </c>
      <c r="C22" s="107">
        <v>1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9" t="s">
        <v>19</v>
      </c>
      <c r="P22" s="3"/>
    </row>
    <row r="23" spans="1:16" ht="19.5" customHeight="1" thickBot="1" x14ac:dyDescent="0.25">
      <c r="A23" s="5"/>
      <c r="B23" s="106">
        <v>2026</v>
      </c>
      <c r="C23" s="114">
        <v>1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9"/>
      <c r="P23" s="3"/>
    </row>
    <row r="24" spans="1:16" ht="19.5" customHeight="1" thickBot="1" x14ac:dyDescent="0.25">
      <c r="A24" s="5"/>
      <c r="B24" s="121">
        <v>2026</v>
      </c>
      <c r="C24" s="121">
        <v>1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9"/>
      <c r="P24" s="3"/>
    </row>
    <row r="25" spans="1:16" ht="19.5" customHeight="1" thickBot="1" x14ac:dyDescent="0.25">
      <c r="A25" s="5"/>
      <c r="B25" s="129">
        <v>2026</v>
      </c>
      <c r="C25" s="129">
        <v>1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38" t="s">
        <v>26</v>
      </c>
      <c r="P25" s="3"/>
    </row>
    <row r="26" spans="1:16" ht="19.5" customHeight="1" thickBot="1" x14ac:dyDescent="0.25">
      <c r="A26" s="5"/>
      <c r="B26" s="137">
        <v>2026</v>
      </c>
      <c r="C26" s="137">
        <v>1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38"/>
      <c r="P26" s="3"/>
    </row>
    <row r="27" spans="1:16" ht="19.5" customHeight="1" thickBot="1" x14ac:dyDescent="0.25">
      <c r="A27" s="5"/>
      <c r="B27" s="137">
        <v>2026</v>
      </c>
      <c r="C27" s="137">
        <v>1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38"/>
      <c r="P27" s="3"/>
    </row>
    <row r="28" spans="1:16" ht="19.5" customHeight="1" thickBot="1" x14ac:dyDescent="0.25">
      <c r="A28" s="5"/>
      <c r="B28" s="137">
        <v>2026</v>
      </c>
      <c r="C28" s="137">
        <v>1</v>
      </c>
      <c r="D28" s="138">
        <v>504</v>
      </c>
      <c r="E28" s="139">
        <v>46099</v>
      </c>
      <c r="F28" s="281">
        <v>17.100000000000001</v>
      </c>
      <c r="G28" s="140">
        <v>47</v>
      </c>
      <c r="H28" s="141">
        <v>3</v>
      </c>
      <c r="I28" s="138" t="s">
        <v>28</v>
      </c>
      <c r="J28" s="140">
        <v>512</v>
      </c>
      <c r="K28" s="140" t="s">
        <v>29</v>
      </c>
      <c r="L28" s="142">
        <v>6</v>
      </c>
      <c r="M28" s="143">
        <v>17</v>
      </c>
      <c r="N28" s="144"/>
      <c r="O28" s="338"/>
      <c r="P28" s="3"/>
    </row>
    <row r="29" spans="1:16" ht="19.5" customHeight="1" thickBot="1" x14ac:dyDescent="0.25">
      <c r="A29" s="5"/>
      <c r="B29" s="137">
        <v>2026</v>
      </c>
      <c r="C29" s="137">
        <v>1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38"/>
      <c r="P29" s="3"/>
    </row>
    <row r="30" spans="1:16" ht="19.5" customHeight="1" thickBot="1" x14ac:dyDescent="0.25">
      <c r="A30" s="5"/>
      <c r="B30" s="137">
        <v>2026</v>
      </c>
      <c r="C30" s="137">
        <v>1</v>
      </c>
      <c r="D30" s="138">
        <v>602</v>
      </c>
      <c r="E30" s="145">
        <v>46099</v>
      </c>
      <c r="F30" s="282">
        <v>20.3</v>
      </c>
      <c r="G30" s="146">
        <v>32</v>
      </c>
      <c r="H30" s="141">
        <v>3</v>
      </c>
      <c r="I30" s="138" t="s">
        <v>28</v>
      </c>
      <c r="J30" s="140">
        <v>587</v>
      </c>
      <c r="K30" s="140" t="s">
        <v>29</v>
      </c>
      <c r="L30" s="142">
        <v>7</v>
      </c>
      <c r="M30" s="143">
        <v>19</v>
      </c>
      <c r="N30" s="144">
        <v>11.266666666666699</v>
      </c>
      <c r="O30" s="338"/>
      <c r="P30" s="3"/>
    </row>
    <row r="31" spans="1:16" ht="19.5" customHeight="1" thickBot="1" x14ac:dyDescent="0.25">
      <c r="A31" s="5"/>
      <c r="B31" s="137">
        <v>2026</v>
      </c>
      <c r="C31" s="137">
        <v>1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38"/>
      <c r="P31" s="3"/>
    </row>
    <row r="32" spans="1:16" ht="19.5" customHeight="1" thickBot="1" x14ac:dyDescent="0.25">
      <c r="A32" s="5"/>
      <c r="B32" s="137">
        <v>2026</v>
      </c>
      <c r="C32" s="137">
        <v>1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38"/>
      <c r="P32" s="3"/>
    </row>
    <row r="33" spans="1:16" ht="19.5" customHeight="1" thickBot="1" x14ac:dyDescent="0.25">
      <c r="A33" s="5"/>
      <c r="B33" s="147">
        <v>2026</v>
      </c>
      <c r="C33" s="148">
        <v>1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38"/>
      <c r="P33" s="3"/>
    </row>
    <row r="34" spans="1:16" ht="19.5" customHeight="1" thickBot="1" x14ac:dyDescent="0.25">
      <c r="A34" s="5"/>
      <c r="B34" s="257">
        <v>2026</v>
      </c>
      <c r="C34" s="157">
        <v>1</v>
      </c>
      <c r="D34" s="158">
        <v>508</v>
      </c>
      <c r="E34" s="159"/>
      <c r="F34" s="284"/>
      <c r="G34" s="160"/>
      <c r="H34" s="161"/>
      <c r="I34" s="162"/>
      <c r="J34" s="162"/>
      <c r="K34" s="162"/>
      <c r="L34" s="163"/>
      <c r="M34" s="164"/>
      <c r="N34" s="165"/>
      <c r="O34" s="336" t="s">
        <v>6</v>
      </c>
      <c r="P34" s="3"/>
    </row>
    <row r="35" spans="1:16" ht="19.5" customHeight="1" thickBot="1" x14ac:dyDescent="0.25">
      <c r="A35" s="5"/>
      <c r="B35" s="258">
        <v>2026</v>
      </c>
      <c r="C35" s="157">
        <v>1</v>
      </c>
      <c r="D35" s="166">
        <v>513</v>
      </c>
      <c r="E35" s="167"/>
      <c r="F35" s="285"/>
      <c r="G35" s="168"/>
      <c r="H35" s="169"/>
      <c r="I35" s="170"/>
      <c r="J35" s="170"/>
      <c r="K35" s="170"/>
      <c r="L35" s="171"/>
      <c r="M35" s="172"/>
      <c r="N35" s="173"/>
      <c r="O35" s="336"/>
      <c r="P35" s="3"/>
    </row>
    <row r="36" spans="1:16" ht="19.5" customHeight="1" thickBot="1" x14ac:dyDescent="0.25">
      <c r="A36" s="5"/>
      <c r="B36" s="258">
        <v>2026</v>
      </c>
      <c r="C36" s="157">
        <v>1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36"/>
      <c r="P36" s="3"/>
    </row>
    <row r="37" spans="1:16" ht="19.5" customHeight="1" thickBot="1" x14ac:dyDescent="0.25">
      <c r="A37" s="5"/>
      <c r="B37" s="258">
        <v>2026</v>
      </c>
      <c r="C37" s="157">
        <v>1</v>
      </c>
      <c r="D37" s="166">
        <v>801</v>
      </c>
      <c r="E37" s="167">
        <v>46097</v>
      </c>
      <c r="F37" s="285">
        <v>4.8</v>
      </c>
      <c r="G37" s="168">
        <v>62</v>
      </c>
      <c r="H37" s="169">
        <v>3</v>
      </c>
      <c r="I37" s="170" t="s">
        <v>28</v>
      </c>
      <c r="J37" s="170">
        <v>9</v>
      </c>
      <c r="K37" s="170" t="s">
        <v>29</v>
      </c>
      <c r="L37" s="171">
        <v>7</v>
      </c>
      <c r="M37" s="172">
        <v>20</v>
      </c>
      <c r="N37" s="173">
        <v>9.8888888888888893</v>
      </c>
      <c r="O37" s="336"/>
      <c r="P37" s="3"/>
    </row>
    <row r="38" spans="1:16" ht="19.5" customHeight="1" thickBot="1" x14ac:dyDescent="0.25">
      <c r="A38" s="5"/>
      <c r="B38" s="259">
        <v>2026</v>
      </c>
      <c r="C38" s="174">
        <v>1</v>
      </c>
      <c r="D38" s="175">
        <v>804</v>
      </c>
      <c r="E38" s="176">
        <v>46098</v>
      </c>
      <c r="F38" s="286">
        <v>11.2</v>
      </c>
      <c r="G38" s="177">
        <v>68</v>
      </c>
      <c r="H38" s="178">
        <v>3</v>
      </c>
      <c r="I38" s="179" t="s">
        <v>28</v>
      </c>
      <c r="J38" s="179">
        <v>28</v>
      </c>
      <c r="K38" s="179" t="s">
        <v>29</v>
      </c>
      <c r="L38" s="180">
        <v>6</v>
      </c>
      <c r="M38" s="181">
        <v>13</v>
      </c>
      <c r="N38" s="182">
        <v>9.8076923076923102</v>
      </c>
      <c r="O38" s="336"/>
      <c r="P38" s="3"/>
    </row>
    <row r="39" spans="1:16" ht="19.5" customHeight="1" x14ac:dyDescent="0.2">
      <c r="A39" s="5"/>
      <c r="B39" s="256">
        <v>2026</v>
      </c>
      <c r="C39" s="183">
        <v>1</v>
      </c>
      <c r="D39" s="184">
        <v>703</v>
      </c>
      <c r="E39" s="185">
        <v>46097</v>
      </c>
      <c r="F39" s="287">
        <v>7.3</v>
      </c>
      <c r="G39" s="186">
        <v>69</v>
      </c>
      <c r="H39" s="187">
        <v>3</v>
      </c>
      <c r="I39" s="188" t="s">
        <v>28</v>
      </c>
      <c r="J39" s="189">
        <v>4</v>
      </c>
      <c r="K39" s="189" t="s">
        <v>29</v>
      </c>
      <c r="L39" s="190">
        <v>7</v>
      </c>
      <c r="M39" s="191">
        <v>15</v>
      </c>
      <c r="N39" s="192">
        <v>10.25</v>
      </c>
      <c r="O39" s="340" t="s">
        <v>7</v>
      </c>
      <c r="P39" s="3"/>
    </row>
    <row r="40" spans="1:16" ht="19.5" customHeight="1" x14ac:dyDescent="0.2">
      <c r="A40" s="5"/>
      <c r="B40" s="254">
        <v>2026</v>
      </c>
      <c r="C40" s="193">
        <v>1</v>
      </c>
      <c r="D40" s="194">
        <v>704</v>
      </c>
      <c r="E40" s="195">
        <v>46097</v>
      </c>
      <c r="F40" s="288">
        <v>5.8</v>
      </c>
      <c r="G40" s="196">
        <v>87</v>
      </c>
      <c r="H40" s="188">
        <v>3</v>
      </c>
      <c r="I40" s="188" t="s">
        <v>28</v>
      </c>
      <c r="J40" s="197">
        <v>2</v>
      </c>
      <c r="K40" s="197" t="s">
        <v>29</v>
      </c>
      <c r="L40" s="198">
        <v>6</v>
      </c>
      <c r="M40" s="199">
        <v>6</v>
      </c>
      <c r="N40" s="200">
        <v>6</v>
      </c>
      <c r="O40" s="341"/>
      <c r="P40" s="3"/>
    </row>
    <row r="41" spans="1:16" ht="19.5" customHeight="1" x14ac:dyDescent="0.2">
      <c r="A41" s="5"/>
      <c r="B41" s="254">
        <v>2026</v>
      </c>
      <c r="C41" s="193">
        <v>1</v>
      </c>
      <c r="D41" s="194">
        <v>705</v>
      </c>
      <c r="E41" s="195">
        <v>46097</v>
      </c>
      <c r="F41" s="288">
        <v>3.8</v>
      </c>
      <c r="G41" s="196">
        <v>123</v>
      </c>
      <c r="H41" s="188">
        <v>3</v>
      </c>
      <c r="I41" s="188" t="s">
        <v>30</v>
      </c>
      <c r="J41" s="197"/>
      <c r="K41" s="197" t="s">
        <v>29</v>
      </c>
      <c r="L41" s="198"/>
      <c r="M41" s="199"/>
      <c r="N41" s="200"/>
      <c r="O41" s="341"/>
      <c r="P41" s="3"/>
    </row>
    <row r="42" spans="1:16" ht="19.5" customHeight="1" x14ac:dyDescent="0.2">
      <c r="A42" s="5"/>
      <c r="B42" s="254">
        <v>2026</v>
      </c>
      <c r="C42" s="193">
        <v>1</v>
      </c>
      <c r="D42" s="194">
        <v>706</v>
      </c>
      <c r="E42" s="195">
        <v>46097</v>
      </c>
      <c r="F42" s="288">
        <v>8.5</v>
      </c>
      <c r="G42" s="196">
        <v>88</v>
      </c>
      <c r="H42" s="188">
        <v>3</v>
      </c>
      <c r="I42" s="188" t="s">
        <v>28</v>
      </c>
      <c r="J42" s="197">
        <v>14</v>
      </c>
      <c r="K42" s="197" t="s">
        <v>29</v>
      </c>
      <c r="L42" s="198">
        <v>6</v>
      </c>
      <c r="M42" s="199">
        <v>11</v>
      </c>
      <c r="N42" s="200">
        <v>6.8</v>
      </c>
      <c r="O42" s="341"/>
      <c r="P42" s="3"/>
    </row>
    <row r="43" spans="1:16" ht="19.5" customHeight="1" x14ac:dyDescent="0.2">
      <c r="A43" s="5"/>
      <c r="B43" s="254">
        <v>2026</v>
      </c>
      <c r="C43" s="193">
        <v>1</v>
      </c>
      <c r="D43" s="194">
        <v>707</v>
      </c>
      <c r="E43" s="195">
        <v>46097</v>
      </c>
      <c r="F43" s="288">
        <v>5.2</v>
      </c>
      <c r="G43" s="196">
        <v>83</v>
      </c>
      <c r="H43" s="188">
        <v>3</v>
      </c>
      <c r="I43" s="188" t="s">
        <v>28</v>
      </c>
      <c r="J43" s="197">
        <v>12</v>
      </c>
      <c r="K43" s="197" t="s">
        <v>29</v>
      </c>
      <c r="L43" s="198">
        <v>6</v>
      </c>
      <c r="M43" s="199">
        <v>6</v>
      </c>
      <c r="N43" s="200">
        <v>6</v>
      </c>
      <c r="O43" s="341"/>
      <c r="P43" s="3"/>
    </row>
    <row r="44" spans="1:16" ht="19.5" customHeight="1" x14ac:dyDescent="0.2">
      <c r="A44" s="5"/>
      <c r="B44" s="254">
        <v>2026</v>
      </c>
      <c r="C44" s="193">
        <v>1</v>
      </c>
      <c r="D44" s="194">
        <v>711</v>
      </c>
      <c r="E44" s="195">
        <v>46097</v>
      </c>
      <c r="F44" s="288">
        <v>4.8</v>
      </c>
      <c r="G44" s="196">
        <v>95</v>
      </c>
      <c r="H44" s="188">
        <v>3</v>
      </c>
      <c r="I44" s="188" t="s">
        <v>30</v>
      </c>
      <c r="J44" s="197"/>
      <c r="K44" s="197" t="s">
        <v>29</v>
      </c>
      <c r="L44" s="198"/>
      <c r="M44" s="199"/>
      <c r="N44" s="200"/>
      <c r="O44" s="341"/>
      <c r="P44" s="3"/>
    </row>
    <row r="45" spans="1:16" ht="19.5" customHeight="1" x14ac:dyDescent="0.2">
      <c r="A45" s="5"/>
      <c r="B45" s="201">
        <v>2026</v>
      </c>
      <c r="C45" s="201">
        <v>1</v>
      </c>
      <c r="D45" s="202">
        <v>716</v>
      </c>
      <c r="E45" s="203">
        <v>46098</v>
      </c>
      <c r="F45" s="289">
        <v>7.4</v>
      </c>
      <c r="G45" s="204">
        <v>73</v>
      </c>
      <c r="H45" s="205">
        <v>3</v>
      </c>
      <c r="I45" s="206" t="s">
        <v>30</v>
      </c>
      <c r="J45" s="204"/>
      <c r="K45" s="204" t="s">
        <v>29</v>
      </c>
      <c r="L45" s="207"/>
      <c r="M45" s="208"/>
      <c r="N45" s="209"/>
      <c r="O45" s="341"/>
      <c r="P45" s="3"/>
    </row>
    <row r="46" spans="1:16" ht="19.5" customHeight="1" x14ac:dyDescent="0.2">
      <c r="A46" s="5"/>
      <c r="B46" s="254">
        <v>2026</v>
      </c>
      <c r="C46" s="193">
        <v>1</v>
      </c>
      <c r="D46" s="194">
        <v>718</v>
      </c>
      <c r="E46" s="195">
        <v>46098</v>
      </c>
      <c r="F46" s="288">
        <v>4.0999999999999996</v>
      </c>
      <c r="G46" s="196">
        <v>107</v>
      </c>
      <c r="H46" s="188">
        <v>3</v>
      </c>
      <c r="I46" s="188" t="s">
        <v>30</v>
      </c>
      <c r="J46" s="196"/>
      <c r="K46" s="197" t="s">
        <v>29</v>
      </c>
      <c r="L46" s="210"/>
      <c r="M46" s="211"/>
      <c r="N46" s="212"/>
      <c r="O46" s="341"/>
      <c r="P46" s="3"/>
    </row>
    <row r="47" spans="1:16" ht="19.5" customHeight="1" x14ac:dyDescent="0.2">
      <c r="A47" s="5"/>
      <c r="B47" s="254">
        <v>2026</v>
      </c>
      <c r="C47" s="193">
        <v>1</v>
      </c>
      <c r="D47" s="194">
        <v>719</v>
      </c>
      <c r="E47" s="195">
        <v>46098</v>
      </c>
      <c r="F47" s="288">
        <v>14.6</v>
      </c>
      <c r="G47" s="196">
        <v>37</v>
      </c>
      <c r="H47" s="188">
        <v>3</v>
      </c>
      <c r="I47" s="188" t="s">
        <v>30</v>
      </c>
      <c r="J47" s="197"/>
      <c r="K47" s="197" t="s">
        <v>29</v>
      </c>
      <c r="L47" s="198"/>
      <c r="M47" s="199"/>
      <c r="N47" s="200"/>
      <c r="O47" s="341"/>
      <c r="P47" s="3"/>
    </row>
    <row r="48" spans="1:16" ht="19.5" customHeight="1" x14ac:dyDescent="0.25">
      <c r="A48" s="5"/>
      <c r="B48" s="254">
        <v>2026</v>
      </c>
      <c r="C48" s="193">
        <v>1</v>
      </c>
      <c r="D48" s="194" t="s">
        <v>48</v>
      </c>
      <c r="E48" s="195">
        <v>46098</v>
      </c>
      <c r="F48" s="288">
        <v>7.4</v>
      </c>
      <c r="G48" s="196">
        <v>74</v>
      </c>
      <c r="H48" s="188">
        <v>3</v>
      </c>
      <c r="I48" s="188" t="s">
        <v>30</v>
      </c>
      <c r="J48" s="197"/>
      <c r="K48" s="197" t="s">
        <v>29</v>
      </c>
      <c r="L48" s="198"/>
      <c r="M48" s="199"/>
      <c r="N48" s="200"/>
      <c r="O48" s="341"/>
      <c r="P48" s="3"/>
    </row>
    <row r="49" spans="1:16" ht="19.5" customHeight="1" x14ac:dyDescent="0.2">
      <c r="A49" s="5"/>
      <c r="B49" s="254">
        <v>2026</v>
      </c>
      <c r="C49" s="193">
        <v>1</v>
      </c>
      <c r="D49" s="194">
        <v>723</v>
      </c>
      <c r="E49" s="195">
        <v>46098</v>
      </c>
      <c r="F49" s="288">
        <v>5.8</v>
      </c>
      <c r="G49" s="196">
        <v>62</v>
      </c>
      <c r="H49" s="188">
        <v>3</v>
      </c>
      <c r="I49" s="188" t="s">
        <v>30</v>
      </c>
      <c r="J49" s="196"/>
      <c r="K49" s="197" t="s">
        <v>29</v>
      </c>
      <c r="L49" s="210"/>
      <c r="M49" s="211"/>
      <c r="N49" s="212"/>
      <c r="O49" s="341"/>
      <c r="P49" s="3"/>
    </row>
    <row r="50" spans="1:16" ht="19.5" customHeight="1" x14ac:dyDescent="0.2">
      <c r="A50" s="5"/>
      <c r="B50" s="254">
        <v>2026</v>
      </c>
      <c r="C50" s="193">
        <v>1</v>
      </c>
      <c r="D50" s="194">
        <v>724</v>
      </c>
      <c r="E50" s="195">
        <v>46098</v>
      </c>
      <c r="F50" s="288">
        <v>6.2</v>
      </c>
      <c r="G50" s="196">
        <v>73</v>
      </c>
      <c r="H50" s="188">
        <v>3</v>
      </c>
      <c r="I50" s="188" t="s">
        <v>30</v>
      </c>
      <c r="J50" s="197"/>
      <c r="K50" s="197" t="s">
        <v>29</v>
      </c>
      <c r="L50" s="198"/>
      <c r="M50" s="199"/>
      <c r="N50" s="200"/>
      <c r="O50" s="341"/>
      <c r="P50" s="3"/>
    </row>
    <row r="51" spans="1:16" ht="19.5" customHeight="1" thickBot="1" x14ac:dyDescent="0.25">
      <c r="A51" s="5"/>
      <c r="B51" s="255">
        <v>2026</v>
      </c>
      <c r="C51" s="251">
        <v>1</v>
      </c>
      <c r="D51" s="213">
        <v>726</v>
      </c>
      <c r="E51" s="214">
        <v>46098</v>
      </c>
      <c r="F51" s="290">
        <v>5.3</v>
      </c>
      <c r="G51" s="215">
        <v>89</v>
      </c>
      <c r="H51" s="216">
        <v>3</v>
      </c>
      <c r="I51" s="188" t="s">
        <v>30</v>
      </c>
      <c r="J51" s="217"/>
      <c r="K51" s="217" t="s">
        <v>29</v>
      </c>
      <c r="L51" s="218"/>
      <c r="M51" s="219"/>
      <c r="N51" s="220"/>
      <c r="O51" s="342"/>
      <c r="P51" s="3"/>
    </row>
    <row r="52" spans="1:16" ht="19.5" customHeight="1" thickBot="1" x14ac:dyDescent="0.25">
      <c r="A52" s="5"/>
      <c r="B52" s="252">
        <v>2026</v>
      </c>
      <c r="C52" s="28">
        <v>1</v>
      </c>
      <c r="D52" s="29">
        <v>809</v>
      </c>
      <c r="E52" s="26">
        <v>46097</v>
      </c>
      <c r="F52" s="291">
        <v>10.3</v>
      </c>
      <c r="G52" s="27">
        <v>80</v>
      </c>
      <c r="H52" s="28">
        <v>3</v>
      </c>
      <c r="I52" s="29" t="s">
        <v>28</v>
      </c>
      <c r="J52" s="30">
        <v>2</v>
      </c>
      <c r="K52" s="30" t="s">
        <v>29</v>
      </c>
      <c r="L52" s="31">
        <v>6</v>
      </c>
      <c r="M52" s="32">
        <v>6</v>
      </c>
      <c r="N52" s="33">
        <v>6</v>
      </c>
      <c r="O52" s="337" t="s">
        <v>8</v>
      </c>
      <c r="P52" s="3"/>
    </row>
    <row r="53" spans="1:16" ht="19.5" customHeight="1" thickBot="1" x14ac:dyDescent="0.25">
      <c r="A53" s="5"/>
      <c r="B53" s="250">
        <v>2026</v>
      </c>
      <c r="C53" s="36">
        <v>1</v>
      </c>
      <c r="D53" s="37">
        <v>812</v>
      </c>
      <c r="E53" s="34">
        <v>46097</v>
      </c>
      <c r="F53" s="292">
        <v>8.6</v>
      </c>
      <c r="G53" s="35">
        <v>82</v>
      </c>
      <c r="H53" s="36">
        <v>3</v>
      </c>
      <c r="I53" s="37" t="s">
        <v>30</v>
      </c>
      <c r="J53" s="38"/>
      <c r="K53" s="38" t="s">
        <v>29</v>
      </c>
      <c r="L53" s="39"/>
      <c r="M53" s="40"/>
      <c r="N53" s="41"/>
      <c r="O53" s="337"/>
      <c r="P53" s="3"/>
    </row>
    <row r="54" spans="1:16" ht="19.5" customHeight="1" thickBot="1" x14ac:dyDescent="0.25">
      <c r="A54" s="5"/>
      <c r="B54" s="249">
        <v>2026</v>
      </c>
      <c r="C54" s="44">
        <v>1</v>
      </c>
      <c r="D54" s="58">
        <v>815</v>
      </c>
      <c r="E54" s="42">
        <v>46097</v>
      </c>
      <c r="F54" s="293">
        <v>5</v>
      </c>
      <c r="G54" s="43">
        <v>127</v>
      </c>
      <c r="H54" s="44">
        <v>3</v>
      </c>
      <c r="I54" s="45" t="s">
        <v>30</v>
      </c>
      <c r="J54" s="46"/>
      <c r="K54" s="46" t="s">
        <v>29</v>
      </c>
      <c r="L54" s="47"/>
      <c r="M54" s="48"/>
      <c r="N54" s="49"/>
      <c r="O54" s="337"/>
      <c r="P54" s="3"/>
    </row>
    <row r="55" spans="1:16" ht="19.5" customHeight="1" thickBot="1" x14ac:dyDescent="0.3">
      <c r="A55" s="5"/>
      <c r="B55" s="249">
        <v>2026</v>
      </c>
      <c r="C55" s="44">
        <v>1</v>
      </c>
      <c r="D55" s="58" t="s">
        <v>50</v>
      </c>
      <c r="E55" s="50">
        <v>46098</v>
      </c>
      <c r="F55" s="294">
        <v>8.1</v>
      </c>
      <c r="G55" s="43">
        <v>88</v>
      </c>
      <c r="H55" s="44">
        <v>2</v>
      </c>
      <c r="I55" s="45" t="s">
        <v>30</v>
      </c>
      <c r="J55" s="46"/>
      <c r="K55" s="46" t="s">
        <v>29</v>
      </c>
      <c r="L55" s="47"/>
      <c r="M55" s="48"/>
      <c r="N55" s="49"/>
      <c r="O55" s="337"/>
      <c r="P55" s="3"/>
    </row>
    <row r="56" spans="1:16" ht="19.5" customHeight="1" thickBot="1" x14ac:dyDescent="0.3">
      <c r="A56" s="5"/>
      <c r="B56" s="249">
        <v>2026</v>
      </c>
      <c r="C56" s="44">
        <v>1</v>
      </c>
      <c r="D56" s="58" t="s">
        <v>49</v>
      </c>
      <c r="E56" s="50">
        <v>46098</v>
      </c>
      <c r="F56" s="294">
        <v>3.2</v>
      </c>
      <c r="G56" s="43">
        <v>156</v>
      </c>
      <c r="H56" s="44">
        <v>3</v>
      </c>
      <c r="I56" s="45" t="s">
        <v>30</v>
      </c>
      <c r="J56" s="46"/>
      <c r="K56" s="46" t="s">
        <v>29</v>
      </c>
      <c r="L56" s="47"/>
      <c r="M56" s="48"/>
      <c r="N56" s="49"/>
      <c r="O56" s="337"/>
      <c r="P56" s="3"/>
    </row>
    <row r="57" spans="1:16" ht="19.5" customHeight="1" thickBot="1" x14ac:dyDescent="0.25">
      <c r="A57" s="5"/>
      <c r="B57" s="249">
        <v>2026</v>
      </c>
      <c r="C57" s="44">
        <v>1</v>
      </c>
      <c r="D57" s="58">
        <v>906</v>
      </c>
      <c r="E57" s="50">
        <v>46097</v>
      </c>
      <c r="F57" s="294">
        <v>3.9</v>
      </c>
      <c r="G57" s="43">
        <v>149</v>
      </c>
      <c r="H57" s="44">
        <v>3</v>
      </c>
      <c r="I57" s="45" t="s">
        <v>30</v>
      </c>
      <c r="J57" s="46"/>
      <c r="K57" s="46" t="s">
        <v>29</v>
      </c>
      <c r="L57" s="47"/>
      <c r="M57" s="48"/>
      <c r="N57" s="49"/>
      <c r="O57" s="337"/>
      <c r="P57" s="3"/>
    </row>
    <row r="58" spans="1:16" ht="19.5" customHeight="1" thickBot="1" x14ac:dyDescent="0.25">
      <c r="A58" s="5"/>
      <c r="B58" s="249">
        <v>2026</v>
      </c>
      <c r="C58" s="44">
        <v>1</v>
      </c>
      <c r="D58" s="58">
        <v>910</v>
      </c>
      <c r="E58" s="50">
        <v>46097</v>
      </c>
      <c r="F58" s="294">
        <v>2.9</v>
      </c>
      <c r="G58" s="43">
        <v>167</v>
      </c>
      <c r="H58" s="44">
        <v>3</v>
      </c>
      <c r="I58" s="45" t="s">
        <v>30</v>
      </c>
      <c r="J58" s="46"/>
      <c r="K58" s="46" t="s">
        <v>29</v>
      </c>
      <c r="L58" s="47"/>
      <c r="M58" s="48"/>
      <c r="N58" s="49"/>
      <c r="O58" s="337"/>
      <c r="P58" s="3"/>
    </row>
    <row r="59" spans="1:16" ht="19.5" customHeight="1" thickBot="1" x14ac:dyDescent="0.25">
      <c r="A59" s="7"/>
      <c r="B59" s="249">
        <v>2026</v>
      </c>
      <c r="C59" s="44">
        <v>1</v>
      </c>
      <c r="D59" s="58">
        <v>912</v>
      </c>
      <c r="E59" s="50">
        <v>46098</v>
      </c>
      <c r="F59" s="294">
        <v>3.4</v>
      </c>
      <c r="G59" s="43">
        <v>147</v>
      </c>
      <c r="H59" s="44">
        <v>3</v>
      </c>
      <c r="I59" s="45" t="s">
        <v>30</v>
      </c>
      <c r="J59" s="46"/>
      <c r="K59" s="46" t="s">
        <v>29</v>
      </c>
      <c r="L59" s="47"/>
      <c r="M59" s="48"/>
      <c r="N59" s="49"/>
      <c r="O59" s="337"/>
      <c r="P59" s="3"/>
    </row>
    <row r="60" spans="1:16" ht="19.5" customHeight="1" thickBot="1" x14ac:dyDescent="0.25">
      <c r="A60" s="12"/>
      <c r="B60" s="249">
        <v>2026</v>
      </c>
      <c r="C60" s="44">
        <v>1</v>
      </c>
      <c r="D60" s="58">
        <v>914</v>
      </c>
      <c r="E60" s="50">
        <v>46098</v>
      </c>
      <c r="F60" s="294">
        <v>2.2000000000000002</v>
      </c>
      <c r="G60" s="43">
        <v>189</v>
      </c>
      <c r="H60" s="44">
        <v>3</v>
      </c>
      <c r="I60" s="45" t="s">
        <v>30</v>
      </c>
      <c r="J60" s="46"/>
      <c r="K60" s="46" t="s">
        <v>29</v>
      </c>
      <c r="L60" s="47"/>
      <c r="M60" s="48"/>
      <c r="N60" s="49"/>
      <c r="O60" s="337"/>
      <c r="P60" s="3"/>
    </row>
    <row r="61" spans="1:16" ht="19.5" customHeight="1" thickBot="1" x14ac:dyDescent="0.25">
      <c r="A61" s="11"/>
      <c r="B61" s="249">
        <v>2026</v>
      </c>
      <c r="C61" s="44">
        <v>1</v>
      </c>
      <c r="D61" s="58">
        <v>915</v>
      </c>
      <c r="E61" s="50">
        <v>46098</v>
      </c>
      <c r="F61" s="294">
        <v>3.4</v>
      </c>
      <c r="G61" s="43">
        <v>164</v>
      </c>
      <c r="H61" s="44">
        <v>3</v>
      </c>
      <c r="I61" s="45" t="s">
        <v>30</v>
      </c>
      <c r="J61" s="46"/>
      <c r="K61" s="46" t="s">
        <v>29</v>
      </c>
      <c r="L61" s="47"/>
      <c r="M61" s="48"/>
      <c r="N61" s="49"/>
      <c r="O61" s="337"/>
      <c r="P61" s="3"/>
    </row>
    <row r="62" spans="1:16" ht="19.5" customHeight="1" thickBot="1" x14ac:dyDescent="0.25">
      <c r="B62" s="260">
        <v>2026</v>
      </c>
      <c r="C62" s="261">
        <v>1</v>
      </c>
      <c r="D62" s="262">
        <v>918</v>
      </c>
      <c r="E62" s="263"/>
      <c r="F62" s="295"/>
      <c r="G62" s="264"/>
      <c r="H62" s="261"/>
      <c r="I62" s="265" t="s">
        <v>31</v>
      </c>
      <c r="J62" s="266"/>
      <c r="K62" s="266"/>
      <c r="L62" s="267"/>
      <c r="M62" s="268"/>
      <c r="N62" s="269"/>
      <c r="O62" s="337"/>
      <c r="P62" s="3"/>
    </row>
    <row r="63" spans="1:16" ht="19.5" customHeight="1" thickBot="1" x14ac:dyDescent="0.25">
      <c r="A63" s="14"/>
      <c r="B63" s="253">
        <v>2026</v>
      </c>
      <c r="C63" s="53">
        <v>1</v>
      </c>
      <c r="D63" s="59">
        <v>919</v>
      </c>
      <c r="E63" s="51">
        <v>46097</v>
      </c>
      <c r="F63" s="296">
        <v>3.5</v>
      </c>
      <c r="G63" s="52">
        <v>126</v>
      </c>
      <c r="H63" s="53">
        <v>3</v>
      </c>
      <c r="I63" s="45" t="s">
        <v>30</v>
      </c>
      <c r="J63" s="54"/>
      <c r="K63" s="54" t="s">
        <v>29</v>
      </c>
      <c r="L63" s="55"/>
      <c r="M63" s="56"/>
      <c r="N63" s="57"/>
      <c r="O63" s="337"/>
      <c r="P63" s="6"/>
    </row>
    <row r="64" spans="1:16" ht="19.5" customHeight="1" x14ac:dyDescent="0.2">
      <c r="A64" s="14"/>
      <c r="B64" s="221" t="s">
        <v>36</v>
      </c>
      <c r="C64" s="222"/>
      <c r="D64" s="222"/>
      <c r="E64" s="222"/>
      <c r="F64" s="235"/>
      <c r="G64" s="222"/>
      <c r="H64" s="222"/>
      <c r="I64" s="223"/>
      <c r="J64" s="222"/>
      <c r="K64" s="222"/>
      <c r="L64" s="222"/>
      <c r="M64" s="222"/>
      <c r="N64" s="235"/>
      <c r="O64" s="224"/>
      <c r="P64" s="5"/>
    </row>
    <row r="65" spans="1:16" ht="19.5" customHeight="1" x14ac:dyDescent="0.2">
      <c r="A65" s="14"/>
      <c r="B65" s="221" t="s">
        <v>37</v>
      </c>
      <c r="C65" s="224"/>
      <c r="D65" s="224"/>
      <c r="E65" s="224"/>
      <c r="F65" s="236"/>
      <c r="G65" s="224"/>
      <c r="H65" s="224"/>
      <c r="I65" s="224"/>
      <c r="J65" s="224"/>
      <c r="K65" s="224"/>
      <c r="L65" s="224"/>
      <c r="M65" s="224"/>
      <c r="N65" s="236"/>
      <c r="O65" s="225"/>
      <c r="P65" s="11"/>
    </row>
    <row r="66" spans="1:16" ht="19.5" customHeight="1" x14ac:dyDescent="0.2">
      <c r="A66" s="14"/>
      <c r="B66" s="221" t="s">
        <v>38</v>
      </c>
      <c r="C66" s="224"/>
      <c r="D66" s="224"/>
      <c r="E66" s="224"/>
      <c r="F66" s="236"/>
      <c r="G66" s="224"/>
      <c r="H66" s="224"/>
      <c r="I66" s="224"/>
      <c r="J66" s="224"/>
      <c r="K66" s="224"/>
      <c r="L66" s="224"/>
      <c r="M66" s="224"/>
      <c r="N66" s="236"/>
      <c r="O66" s="224"/>
      <c r="P66" s="17"/>
    </row>
    <row r="67" spans="1:16" ht="19.5" customHeight="1" x14ac:dyDescent="0.2">
      <c r="A67" s="14"/>
      <c r="B67" s="227" t="s">
        <v>47</v>
      </c>
      <c r="C67" s="24"/>
      <c r="D67" s="24"/>
      <c r="E67" s="25"/>
      <c r="F67" s="297"/>
      <c r="G67" s="25"/>
      <c r="H67" s="25"/>
      <c r="I67" s="24"/>
      <c r="J67" s="24"/>
      <c r="K67" s="24"/>
      <c r="L67" s="24"/>
      <c r="M67" s="24"/>
      <c r="N67" s="237"/>
      <c r="P67" s="8"/>
    </row>
    <row r="68" spans="1:16" ht="15" customHeight="1" x14ac:dyDescent="0.2">
      <c r="A68" s="14"/>
      <c r="B68" s="14"/>
      <c r="C68" s="14"/>
      <c r="D68" s="14"/>
      <c r="E68" s="14"/>
      <c r="F68" s="238"/>
      <c r="G68" s="14"/>
      <c r="H68" s="16"/>
      <c r="I68" s="15"/>
      <c r="J68" s="22"/>
      <c r="K68" s="21"/>
      <c r="L68" s="16"/>
      <c r="M68" s="19"/>
      <c r="N68" s="238"/>
      <c r="O68" s="24"/>
    </row>
    <row r="69" spans="1:16" ht="15" customHeight="1" x14ac:dyDescent="0.2">
      <c r="H69" s="20"/>
      <c r="O69" s="224"/>
      <c r="P69" s="14"/>
    </row>
    <row r="70" spans="1:16" ht="15" customHeight="1" x14ac:dyDescent="0.2">
      <c r="G70" s="18"/>
      <c r="P70" s="14"/>
    </row>
    <row r="71" spans="1:16" ht="15" customHeight="1" x14ac:dyDescent="0.2">
      <c r="I71" s="10" t="s">
        <v>13</v>
      </c>
      <c r="J71" s="4">
        <v>179</v>
      </c>
      <c r="P71" s="14"/>
    </row>
    <row r="72" spans="1:16" ht="15" customHeight="1" x14ac:dyDescent="0.2">
      <c r="I72" s="10" t="s">
        <v>14</v>
      </c>
      <c r="J72" s="4">
        <v>92</v>
      </c>
      <c r="P72" s="14"/>
    </row>
    <row r="73" spans="1:16" ht="15" customHeight="1" x14ac:dyDescent="0.2">
      <c r="I73" s="10" t="s">
        <v>15</v>
      </c>
      <c r="J73" s="13">
        <f>J72/J71</f>
        <v>0.51396648044692739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K75" s="248"/>
      <c r="N75" s="18"/>
    </row>
    <row r="76" spans="1:16" x14ac:dyDescent="0.2">
      <c r="I76" s="248" t="s">
        <v>18</v>
      </c>
      <c r="J76" s="18">
        <f>SUM(J16:J21)</f>
        <v>270</v>
      </c>
      <c r="K76" s="248"/>
      <c r="N76" s="18"/>
    </row>
    <row r="77" spans="1:16" x14ac:dyDescent="0.2">
      <c r="I77" s="248" t="s">
        <v>21</v>
      </c>
      <c r="J77" s="18">
        <f>SUM(J22:J24)</f>
        <v>0</v>
      </c>
      <c r="K77" s="248"/>
      <c r="N77" s="18"/>
    </row>
    <row r="78" spans="1:16" x14ac:dyDescent="0.2">
      <c r="I78" s="248" t="s">
        <v>22</v>
      </c>
      <c r="J78" s="18">
        <f>SUM(J25:J33)</f>
        <v>1099</v>
      </c>
      <c r="K78" s="248"/>
      <c r="N78" s="18"/>
    </row>
    <row r="79" spans="1:16" x14ac:dyDescent="0.2">
      <c r="I79" s="248" t="s">
        <v>6</v>
      </c>
      <c r="J79" s="18">
        <f>SUM(J34:J38)</f>
        <v>37</v>
      </c>
      <c r="K79" s="248"/>
      <c r="N79" s="18"/>
    </row>
    <row r="80" spans="1:16" x14ac:dyDescent="0.2">
      <c r="I80" s="248" t="s">
        <v>23</v>
      </c>
      <c r="J80" s="18">
        <f>SUM(J39:J51)</f>
        <v>32</v>
      </c>
      <c r="K80" s="248"/>
      <c r="N80" s="18"/>
    </row>
    <row r="81" spans="9:14" x14ac:dyDescent="0.2">
      <c r="I81" s="248" t="s">
        <v>27</v>
      </c>
      <c r="J81" s="18">
        <f>SUM(J52:J53)</f>
        <v>2</v>
      </c>
      <c r="K81" s="248"/>
      <c r="N81" s="18"/>
    </row>
    <row r="82" spans="9:14" x14ac:dyDescent="0.2">
      <c r="I82" s="248" t="s">
        <v>24</v>
      </c>
      <c r="J82" s="18">
        <f>SUM(J54:J63)</f>
        <v>0</v>
      </c>
      <c r="K82" s="248"/>
      <c r="N82" s="18"/>
    </row>
    <row r="83" spans="9:14" x14ac:dyDescent="0.2">
      <c r="J83" s="18">
        <f>SUM(J75:J82)</f>
        <v>1440</v>
      </c>
      <c r="N83" s="18"/>
    </row>
  </sheetData>
  <mergeCells count="7">
    <mergeCell ref="O3:O15"/>
    <mergeCell ref="O16:O21"/>
    <mergeCell ref="O34:O38"/>
    <mergeCell ref="O52:O63"/>
    <mergeCell ref="O25:O33"/>
    <mergeCell ref="O22:O24"/>
    <mergeCell ref="O39:O51"/>
  </mergeCells>
  <dataValidations count="2">
    <dataValidation type="list" allowBlank="1" showInputMessage="1" showErrorMessage="1" sqref="I3:I63" xr:uid="{5467DC42-5532-45B6-961C-F2688EBD0E3D}">
      <formula1>"Not Processed, No Smelt Catch, Not Sampled, Longfin Smelt, Delta Smelt"</formula1>
    </dataValidation>
    <dataValidation type="list" allowBlank="1" showInputMessage="1" showErrorMessage="1" sqref="K3:K63" xr:uid="{C50BE3D9-90A4-474A-BDF1-6232919E9715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5183-CC2B-4E40-8249-700B1CA9D998}">
  <dimension ref="A1:P110"/>
  <sheetViews>
    <sheetView topLeftCell="A58" workbookViewId="0">
      <selection activeCell="B67" sqref="B67"/>
    </sheetView>
  </sheetViews>
  <sheetFormatPr defaultColWidth="9.140625" defaultRowHeight="14.25" x14ac:dyDescent="0.2"/>
  <cols>
    <col min="1" max="1" width="9.140625" style="4"/>
    <col min="2" max="2" width="5.85546875" style="4" customWidth="1"/>
    <col min="3" max="4" width="8.28515625" style="4" customWidth="1"/>
    <col min="5" max="5" width="8.5703125" style="4" customWidth="1"/>
    <col min="6" max="6" width="9.7109375" style="4" customWidth="1"/>
    <col min="7" max="7" width="8.140625" style="4" customWidth="1"/>
    <col min="8" max="8" width="12.140625" style="4" customWidth="1"/>
    <col min="9" max="9" width="16.42578125" style="10" customWidth="1"/>
    <col min="10" max="10" width="7" style="4" customWidth="1"/>
    <col min="11" max="11" width="16.140625" style="4" customWidth="1"/>
    <col min="12" max="12" width="8.140625" style="4" customWidth="1"/>
    <col min="13" max="13" width="7.85546875" style="4" customWidth="1"/>
    <col min="14" max="14" width="8.28515625" style="324" customWidth="1"/>
    <col min="15" max="15" width="7.7109375" style="226" customWidth="1"/>
    <col min="16" max="16" width="9.140625" style="4"/>
    <col min="17" max="17" width="16.42578125" style="4" customWidth="1"/>
    <col min="18" max="18" width="18.85546875" style="4" customWidth="1"/>
    <col min="19" max="29" width="9.140625" style="4"/>
    <col min="30" max="30" width="14.5703125" style="4" bestFit="1" customWidth="1"/>
    <col min="31" max="16384" width="9.140625" style="4"/>
  </cols>
  <sheetData>
    <row r="1" spans="1:16" ht="15" thickBot="1" x14ac:dyDescent="0.25">
      <c r="A1" s="299"/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1"/>
      <c r="P1" s="3"/>
    </row>
    <row r="2" spans="1:16" s="306" customFormat="1" ht="36" customHeight="1" thickBot="1" x14ac:dyDescent="0.25">
      <c r="A2" s="302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32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303" t="s">
        <v>11</v>
      </c>
      <c r="O2" s="304"/>
      <c r="P2" s="305"/>
    </row>
    <row r="3" spans="1:16" ht="19.5" customHeight="1" thickBot="1" x14ac:dyDescent="0.25">
      <c r="A3" s="307"/>
      <c r="B3" s="61">
        <v>2026</v>
      </c>
      <c r="C3" s="61">
        <v>2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4" t="s">
        <v>25</v>
      </c>
      <c r="P3" s="3"/>
    </row>
    <row r="4" spans="1:16" ht="19.5" customHeight="1" thickBot="1" x14ac:dyDescent="0.25">
      <c r="A4" s="307"/>
      <c r="B4" s="67">
        <v>2026</v>
      </c>
      <c r="C4" s="68">
        <v>2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4"/>
      <c r="P4" s="3"/>
    </row>
    <row r="5" spans="1:16" ht="19.5" customHeight="1" thickBot="1" x14ac:dyDescent="0.25">
      <c r="A5" s="307"/>
      <c r="B5" s="67">
        <v>2026</v>
      </c>
      <c r="C5" s="68">
        <v>2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4"/>
      <c r="P5" s="3"/>
    </row>
    <row r="6" spans="1:16" ht="19.5" customHeight="1" thickBot="1" x14ac:dyDescent="0.25">
      <c r="A6" s="307"/>
      <c r="B6" s="67">
        <v>2026</v>
      </c>
      <c r="C6" s="68">
        <v>2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4"/>
      <c r="P6" s="3"/>
    </row>
    <row r="7" spans="1:16" ht="19.5" customHeight="1" thickBot="1" x14ac:dyDescent="0.25">
      <c r="A7" s="307"/>
      <c r="B7" s="67">
        <v>2026</v>
      </c>
      <c r="C7" s="68">
        <v>2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4"/>
      <c r="P7" s="3"/>
    </row>
    <row r="8" spans="1:16" ht="19.5" customHeight="1" thickBot="1" x14ac:dyDescent="0.25">
      <c r="A8" s="307"/>
      <c r="B8" s="67">
        <v>2026</v>
      </c>
      <c r="C8" s="68">
        <v>2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4"/>
      <c r="P8" s="3"/>
    </row>
    <row r="9" spans="1:16" ht="19.5" customHeight="1" thickBot="1" x14ac:dyDescent="0.25">
      <c r="A9" s="307"/>
      <c r="B9" s="67">
        <v>2026</v>
      </c>
      <c r="C9" s="68">
        <v>2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4"/>
      <c r="P9" s="3"/>
    </row>
    <row r="10" spans="1:16" ht="19.5" customHeight="1" thickBot="1" x14ac:dyDescent="0.25">
      <c r="A10" s="307"/>
      <c r="B10" s="67">
        <v>2026</v>
      </c>
      <c r="C10" s="68">
        <v>2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4"/>
      <c r="P10" s="3"/>
    </row>
    <row r="11" spans="1:16" ht="19.5" customHeight="1" thickBot="1" x14ac:dyDescent="0.25">
      <c r="A11" s="307"/>
      <c r="B11" s="67">
        <v>2026</v>
      </c>
      <c r="C11" s="68">
        <v>2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4"/>
      <c r="P11" s="3"/>
    </row>
    <row r="12" spans="1:16" ht="19.5" customHeight="1" thickBot="1" x14ac:dyDescent="0.25">
      <c r="A12" s="307"/>
      <c r="B12" s="67">
        <v>2026</v>
      </c>
      <c r="C12" s="68">
        <v>2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4"/>
      <c r="P12" s="3"/>
    </row>
    <row r="13" spans="1:16" ht="19.5" customHeight="1" thickBot="1" x14ac:dyDescent="0.25">
      <c r="A13" s="307"/>
      <c r="B13" s="67">
        <v>2026</v>
      </c>
      <c r="C13" s="68">
        <v>2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4"/>
      <c r="P13" s="3"/>
    </row>
    <row r="14" spans="1:16" ht="19.5" customHeight="1" thickBot="1" x14ac:dyDescent="0.25">
      <c r="A14" s="307"/>
      <c r="B14" s="67">
        <v>2026</v>
      </c>
      <c r="C14" s="68">
        <v>2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4"/>
      <c r="P14" s="3"/>
    </row>
    <row r="15" spans="1:16" ht="19.5" customHeight="1" thickBot="1" x14ac:dyDescent="0.25">
      <c r="A15" s="307"/>
      <c r="B15" s="75">
        <v>2026</v>
      </c>
      <c r="C15" s="68">
        <v>2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4"/>
      <c r="P15" s="3"/>
    </row>
    <row r="16" spans="1:16" ht="19.5" customHeight="1" thickBot="1" x14ac:dyDescent="0.25">
      <c r="A16" s="307"/>
      <c r="B16" s="81">
        <v>2026</v>
      </c>
      <c r="C16" s="82">
        <v>2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35" t="s">
        <v>18</v>
      </c>
      <c r="P16" s="3"/>
    </row>
    <row r="17" spans="1:16" ht="19.5" customHeight="1" thickBot="1" x14ac:dyDescent="0.25">
      <c r="A17" s="307"/>
      <c r="B17" s="89">
        <v>2026</v>
      </c>
      <c r="C17" s="89">
        <v>2</v>
      </c>
      <c r="D17" s="90">
        <v>342</v>
      </c>
      <c r="E17" s="91"/>
      <c r="F17" s="276"/>
      <c r="G17" s="92"/>
      <c r="H17" s="90"/>
      <c r="I17" s="90"/>
      <c r="J17" s="93"/>
      <c r="K17" s="93"/>
      <c r="L17" s="94"/>
      <c r="M17" s="95"/>
      <c r="N17" s="96"/>
      <c r="O17" s="335"/>
      <c r="P17" s="3"/>
    </row>
    <row r="18" spans="1:16" ht="19.5" customHeight="1" thickBot="1" x14ac:dyDescent="0.25">
      <c r="A18" s="307"/>
      <c r="B18" s="89">
        <v>2026</v>
      </c>
      <c r="C18" s="89">
        <v>2</v>
      </c>
      <c r="D18" s="90">
        <v>343</v>
      </c>
      <c r="E18" s="91"/>
      <c r="F18" s="276"/>
      <c r="G18" s="92"/>
      <c r="H18" s="90"/>
      <c r="I18" s="90"/>
      <c r="J18" s="93"/>
      <c r="K18" s="93"/>
      <c r="L18" s="94"/>
      <c r="M18" s="95"/>
      <c r="N18" s="96"/>
      <c r="O18" s="335"/>
      <c r="P18" s="3"/>
    </row>
    <row r="19" spans="1:16" ht="19.5" customHeight="1" thickBot="1" x14ac:dyDescent="0.25">
      <c r="A19" s="307"/>
      <c r="B19" s="89">
        <v>2026</v>
      </c>
      <c r="C19" s="89">
        <v>2</v>
      </c>
      <c r="D19" s="90">
        <v>344</v>
      </c>
      <c r="E19" s="91"/>
      <c r="F19" s="276"/>
      <c r="G19" s="92"/>
      <c r="H19" s="90"/>
      <c r="I19" s="90"/>
      <c r="J19" s="93"/>
      <c r="K19" s="93"/>
      <c r="L19" s="94"/>
      <c r="M19" s="95"/>
      <c r="N19" s="96"/>
      <c r="O19" s="335"/>
      <c r="P19" s="3"/>
    </row>
    <row r="20" spans="1:16" ht="19.5" customHeight="1" thickBot="1" x14ac:dyDescent="0.25">
      <c r="A20" s="307"/>
      <c r="B20" s="89">
        <v>2026</v>
      </c>
      <c r="C20" s="89">
        <v>2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35"/>
      <c r="P20" s="3"/>
    </row>
    <row r="21" spans="1:16" ht="19.5" customHeight="1" thickBot="1" x14ac:dyDescent="0.25">
      <c r="A21" s="307"/>
      <c r="B21" s="97">
        <v>2026</v>
      </c>
      <c r="C21" s="98">
        <v>2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35"/>
      <c r="P21" s="3"/>
    </row>
    <row r="22" spans="1:16" ht="19.5" customHeight="1" thickBot="1" x14ac:dyDescent="0.25">
      <c r="A22" s="307"/>
      <c r="B22" s="106">
        <v>2026</v>
      </c>
      <c r="C22" s="107">
        <v>2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9" t="s">
        <v>19</v>
      </c>
      <c r="P22" s="3"/>
    </row>
    <row r="23" spans="1:16" ht="19.5" customHeight="1" thickBot="1" x14ac:dyDescent="0.25">
      <c r="A23" s="307"/>
      <c r="B23" s="106">
        <v>2026</v>
      </c>
      <c r="C23" s="114">
        <v>2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9"/>
      <c r="P23" s="3"/>
    </row>
    <row r="24" spans="1:16" ht="19.5" customHeight="1" thickBot="1" x14ac:dyDescent="0.25">
      <c r="A24" s="307"/>
      <c r="B24" s="121">
        <v>2026</v>
      </c>
      <c r="C24" s="121">
        <v>2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9"/>
      <c r="P24" s="3"/>
    </row>
    <row r="25" spans="1:16" ht="19.5" customHeight="1" thickBot="1" x14ac:dyDescent="0.25">
      <c r="A25" s="307"/>
      <c r="B25" s="129">
        <v>2026</v>
      </c>
      <c r="C25" s="129">
        <v>2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38" t="s">
        <v>26</v>
      </c>
      <c r="P25" s="3"/>
    </row>
    <row r="26" spans="1:16" ht="19.5" customHeight="1" thickBot="1" x14ac:dyDescent="0.25">
      <c r="A26" s="307"/>
      <c r="B26" s="137">
        <v>2026</v>
      </c>
      <c r="C26" s="137">
        <v>2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38"/>
      <c r="P26" s="3"/>
    </row>
    <row r="27" spans="1:16" ht="19.5" customHeight="1" thickBot="1" x14ac:dyDescent="0.25">
      <c r="A27" s="307"/>
      <c r="B27" s="137">
        <v>2026</v>
      </c>
      <c r="C27" s="137">
        <v>2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38"/>
      <c r="P27" s="3"/>
    </row>
    <row r="28" spans="1:16" ht="19.5" customHeight="1" thickBot="1" x14ac:dyDescent="0.25">
      <c r="A28" s="307"/>
      <c r="B28" s="137">
        <v>2026</v>
      </c>
      <c r="C28" s="137">
        <v>2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38"/>
      <c r="P28" s="3"/>
    </row>
    <row r="29" spans="1:16" ht="19.5" customHeight="1" thickBot="1" x14ac:dyDescent="0.25">
      <c r="A29" s="307"/>
      <c r="B29" s="137">
        <v>2026</v>
      </c>
      <c r="C29" s="137">
        <v>2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38"/>
      <c r="P29" s="3"/>
    </row>
    <row r="30" spans="1:16" ht="19.5" customHeight="1" thickBot="1" x14ac:dyDescent="0.25">
      <c r="A30" s="307"/>
      <c r="B30" s="137">
        <v>2026</v>
      </c>
      <c r="C30" s="137">
        <v>2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38"/>
      <c r="P30" s="3"/>
    </row>
    <row r="31" spans="1:16" ht="19.5" customHeight="1" thickBot="1" x14ac:dyDescent="0.25">
      <c r="A31" s="307"/>
      <c r="B31" s="137">
        <v>2026</v>
      </c>
      <c r="C31" s="137">
        <v>2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38"/>
      <c r="P31" s="3"/>
    </row>
    <row r="32" spans="1:16" ht="19.5" customHeight="1" thickBot="1" x14ac:dyDescent="0.25">
      <c r="A32" s="307"/>
      <c r="B32" s="137">
        <v>2026</v>
      </c>
      <c r="C32" s="137">
        <v>2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38"/>
      <c r="P32" s="3"/>
    </row>
    <row r="33" spans="1:16" ht="19.5" customHeight="1" thickBot="1" x14ac:dyDescent="0.25">
      <c r="A33" s="307"/>
      <c r="B33" s="147">
        <v>2026</v>
      </c>
      <c r="C33" s="148">
        <v>2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38"/>
      <c r="P33" s="3"/>
    </row>
    <row r="34" spans="1:16" ht="19.5" customHeight="1" thickBot="1" x14ac:dyDescent="0.25">
      <c r="A34" s="307"/>
      <c r="B34" s="308">
        <v>2026</v>
      </c>
      <c r="C34" s="309">
        <v>2</v>
      </c>
      <c r="D34" s="310">
        <v>508</v>
      </c>
      <c r="E34" s="311"/>
      <c r="F34" s="312"/>
      <c r="G34" s="313"/>
      <c r="H34" s="314"/>
      <c r="I34" s="315" t="s">
        <v>31</v>
      </c>
      <c r="J34" s="315"/>
      <c r="K34" s="315"/>
      <c r="L34" s="316"/>
      <c r="M34" s="317"/>
      <c r="N34" s="318"/>
      <c r="O34" s="336" t="s">
        <v>6</v>
      </c>
      <c r="P34" s="3"/>
    </row>
    <row r="35" spans="1:16" ht="19.5" customHeight="1" thickBot="1" x14ac:dyDescent="0.25">
      <c r="A35" s="307"/>
      <c r="B35" s="260">
        <v>2026</v>
      </c>
      <c r="C35" s="309">
        <v>2</v>
      </c>
      <c r="D35" s="262">
        <v>513</v>
      </c>
      <c r="E35" s="263"/>
      <c r="F35" s="295"/>
      <c r="G35" s="264"/>
      <c r="H35" s="261"/>
      <c r="I35" s="266" t="s">
        <v>31</v>
      </c>
      <c r="J35" s="266"/>
      <c r="K35" s="266"/>
      <c r="L35" s="267"/>
      <c r="M35" s="268"/>
      <c r="N35" s="269"/>
      <c r="O35" s="336"/>
      <c r="P35" s="3"/>
    </row>
    <row r="36" spans="1:16" ht="19.5" customHeight="1" thickBot="1" x14ac:dyDescent="0.25">
      <c r="A36" s="307"/>
      <c r="B36" s="258">
        <v>2026</v>
      </c>
      <c r="C36" s="157">
        <v>2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36"/>
      <c r="P36" s="3"/>
    </row>
    <row r="37" spans="1:16" ht="19.5" customHeight="1" thickBot="1" x14ac:dyDescent="0.25">
      <c r="A37" s="307"/>
      <c r="B37" s="258">
        <v>2026</v>
      </c>
      <c r="C37" s="157">
        <v>2</v>
      </c>
      <c r="D37" s="166">
        <v>801</v>
      </c>
      <c r="E37" s="167">
        <v>46113</v>
      </c>
      <c r="F37" s="285">
        <v>9.5</v>
      </c>
      <c r="G37" s="168">
        <v>46</v>
      </c>
      <c r="H37" s="169">
        <v>3</v>
      </c>
      <c r="I37" s="170" t="s">
        <v>28</v>
      </c>
      <c r="J37" s="170">
        <v>31</v>
      </c>
      <c r="K37" s="170" t="s">
        <v>29</v>
      </c>
      <c r="L37" s="171">
        <v>7</v>
      </c>
      <c r="M37" s="172">
        <v>15</v>
      </c>
      <c r="N37" s="173">
        <v>9.9285714285714306</v>
      </c>
      <c r="O37" s="336"/>
      <c r="P37" s="3"/>
    </row>
    <row r="38" spans="1:16" ht="19.5" customHeight="1" thickBot="1" x14ac:dyDescent="0.25">
      <c r="A38" s="307"/>
      <c r="B38" s="259">
        <v>2026</v>
      </c>
      <c r="C38" s="174">
        <v>2</v>
      </c>
      <c r="D38" s="175" t="s">
        <v>40</v>
      </c>
      <c r="E38" s="176">
        <v>46113</v>
      </c>
      <c r="F38" s="286">
        <v>5.7</v>
      </c>
      <c r="G38" s="177">
        <v>99</v>
      </c>
      <c r="H38" s="178">
        <v>3</v>
      </c>
      <c r="I38" s="179" t="s">
        <v>28</v>
      </c>
      <c r="J38" s="179">
        <v>2</v>
      </c>
      <c r="K38" s="179" t="s">
        <v>29</v>
      </c>
      <c r="L38" s="180">
        <v>11</v>
      </c>
      <c r="M38" s="181">
        <v>14</v>
      </c>
      <c r="N38" s="182">
        <v>12.5</v>
      </c>
      <c r="O38" s="336"/>
      <c r="P38" s="3"/>
    </row>
    <row r="39" spans="1:16" ht="19.5" customHeight="1" x14ac:dyDescent="0.2">
      <c r="A39" s="307"/>
      <c r="B39" s="256">
        <v>2026</v>
      </c>
      <c r="C39" s="183">
        <v>2</v>
      </c>
      <c r="D39" s="184">
        <v>703</v>
      </c>
      <c r="E39" s="185">
        <v>46113</v>
      </c>
      <c r="F39" s="287">
        <v>10</v>
      </c>
      <c r="G39" s="186">
        <v>47</v>
      </c>
      <c r="H39" s="187">
        <v>3</v>
      </c>
      <c r="I39" s="188" t="s">
        <v>28</v>
      </c>
      <c r="J39" s="189">
        <v>30</v>
      </c>
      <c r="K39" s="189" t="s">
        <v>29</v>
      </c>
      <c r="L39" s="190">
        <v>8</v>
      </c>
      <c r="M39" s="191">
        <v>14</v>
      </c>
      <c r="N39" s="192">
        <v>10.6071428571429</v>
      </c>
      <c r="O39" s="340" t="s">
        <v>7</v>
      </c>
      <c r="P39" s="3"/>
    </row>
    <row r="40" spans="1:16" ht="19.5" customHeight="1" x14ac:dyDescent="0.2">
      <c r="A40" s="307"/>
      <c r="B40" s="254">
        <v>2026</v>
      </c>
      <c r="C40" s="193">
        <v>2</v>
      </c>
      <c r="D40" s="194">
        <v>704</v>
      </c>
      <c r="E40" s="195">
        <v>46113</v>
      </c>
      <c r="F40" s="288">
        <v>7.4</v>
      </c>
      <c r="G40" s="196">
        <v>58</v>
      </c>
      <c r="H40" s="188">
        <v>3</v>
      </c>
      <c r="I40" s="188" t="s">
        <v>28</v>
      </c>
      <c r="J40" s="197">
        <v>2</v>
      </c>
      <c r="K40" s="197" t="s">
        <v>29</v>
      </c>
      <c r="L40" s="198">
        <v>9</v>
      </c>
      <c r="M40" s="199">
        <v>12</v>
      </c>
      <c r="N40" s="200">
        <v>10.5</v>
      </c>
      <c r="O40" s="341"/>
      <c r="P40" s="3"/>
    </row>
    <row r="41" spans="1:16" ht="19.5" customHeight="1" x14ac:dyDescent="0.2">
      <c r="A41" s="307"/>
      <c r="B41" s="254">
        <v>2026</v>
      </c>
      <c r="C41" s="193">
        <v>2</v>
      </c>
      <c r="D41" s="194">
        <v>705</v>
      </c>
      <c r="E41" s="195">
        <v>46113</v>
      </c>
      <c r="F41" s="288">
        <v>6.6</v>
      </c>
      <c r="G41" s="196">
        <v>73</v>
      </c>
      <c r="H41" s="188">
        <v>3</v>
      </c>
      <c r="I41" s="188" t="s">
        <v>30</v>
      </c>
      <c r="J41" s="197"/>
      <c r="K41" s="197" t="s">
        <v>29</v>
      </c>
      <c r="L41" s="198"/>
      <c r="M41" s="199"/>
      <c r="N41" s="200"/>
      <c r="O41" s="341"/>
      <c r="P41" s="3"/>
    </row>
    <row r="42" spans="1:16" ht="19.5" customHeight="1" x14ac:dyDescent="0.2">
      <c r="A42" s="307"/>
      <c r="B42" s="254">
        <v>2026</v>
      </c>
      <c r="C42" s="193">
        <v>2</v>
      </c>
      <c r="D42" s="194">
        <v>706</v>
      </c>
      <c r="E42" s="195"/>
      <c r="F42" s="288"/>
      <c r="G42" s="196"/>
      <c r="H42" s="188"/>
      <c r="I42" s="188"/>
      <c r="J42" s="197"/>
      <c r="K42" s="197"/>
      <c r="L42" s="198"/>
      <c r="M42" s="199"/>
      <c r="N42" s="200"/>
      <c r="O42" s="341"/>
      <c r="P42" s="3"/>
    </row>
    <row r="43" spans="1:16" ht="19.5" customHeight="1" x14ac:dyDescent="0.2">
      <c r="A43" s="307"/>
      <c r="B43" s="254">
        <v>2026</v>
      </c>
      <c r="C43" s="193">
        <v>2</v>
      </c>
      <c r="D43" s="194">
        <v>707</v>
      </c>
      <c r="E43" s="195">
        <v>46113</v>
      </c>
      <c r="F43" s="288">
        <v>8</v>
      </c>
      <c r="G43" s="196">
        <v>68</v>
      </c>
      <c r="H43" s="188">
        <v>3</v>
      </c>
      <c r="I43" s="188" t="s">
        <v>28</v>
      </c>
      <c r="J43" s="197">
        <v>1</v>
      </c>
      <c r="K43" s="197" t="s">
        <v>29</v>
      </c>
      <c r="L43" s="198">
        <v>7</v>
      </c>
      <c r="M43" s="199">
        <v>7</v>
      </c>
      <c r="N43" s="200">
        <v>7</v>
      </c>
      <c r="O43" s="341"/>
      <c r="P43" s="3"/>
    </row>
    <row r="44" spans="1:16" ht="19.5" customHeight="1" x14ac:dyDescent="0.2">
      <c r="A44" s="307"/>
      <c r="B44" s="254">
        <v>2026</v>
      </c>
      <c r="C44" s="193">
        <v>2</v>
      </c>
      <c r="D44" s="194">
        <v>711</v>
      </c>
      <c r="E44" s="195">
        <v>46111</v>
      </c>
      <c r="F44" s="288">
        <v>2.7</v>
      </c>
      <c r="G44" s="196">
        <v>113</v>
      </c>
      <c r="H44" s="188">
        <v>3</v>
      </c>
      <c r="I44" s="188" t="s">
        <v>30</v>
      </c>
      <c r="J44" s="197"/>
      <c r="K44" s="197" t="s">
        <v>29</v>
      </c>
      <c r="L44" s="198"/>
      <c r="M44" s="199"/>
      <c r="N44" s="200"/>
      <c r="O44" s="341"/>
      <c r="P44" s="3"/>
    </row>
    <row r="45" spans="1:16" ht="19.5" customHeight="1" x14ac:dyDescent="0.2">
      <c r="A45" s="307"/>
      <c r="B45" s="201">
        <v>2026</v>
      </c>
      <c r="C45" s="201">
        <v>2</v>
      </c>
      <c r="D45" s="202">
        <v>716</v>
      </c>
      <c r="E45" s="203">
        <v>46111</v>
      </c>
      <c r="F45" s="289">
        <v>5.2</v>
      </c>
      <c r="G45" s="204">
        <v>73</v>
      </c>
      <c r="H45" s="205">
        <v>3</v>
      </c>
      <c r="I45" s="206" t="s">
        <v>30</v>
      </c>
      <c r="J45" s="204"/>
      <c r="K45" s="204" t="s">
        <v>29</v>
      </c>
      <c r="L45" s="207"/>
      <c r="M45" s="208"/>
      <c r="N45" s="209"/>
      <c r="O45" s="341"/>
      <c r="P45" s="3"/>
    </row>
    <row r="46" spans="1:16" ht="19.5" customHeight="1" x14ac:dyDescent="0.2">
      <c r="A46" s="307"/>
      <c r="B46" s="254">
        <v>2026</v>
      </c>
      <c r="C46" s="193">
        <v>2</v>
      </c>
      <c r="D46" s="194">
        <v>718</v>
      </c>
      <c r="E46" s="195">
        <v>46111</v>
      </c>
      <c r="F46" s="288">
        <v>2.5</v>
      </c>
      <c r="G46" s="196">
        <v>134</v>
      </c>
      <c r="H46" s="188">
        <v>3</v>
      </c>
      <c r="I46" s="188" t="s">
        <v>30</v>
      </c>
      <c r="J46" s="196"/>
      <c r="K46" s="197" t="s">
        <v>29</v>
      </c>
      <c r="L46" s="210"/>
      <c r="M46" s="211"/>
      <c r="N46" s="212"/>
      <c r="O46" s="341"/>
      <c r="P46" s="3"/>
    </row>
    <row r="47" spans="1:16" ht="19.5" customHeight="1" x14ac:dyDescent="0.2">
      <c r="A47" s="307"/>
      <c r="B47" s="254">
        <v>2026</v>
      </c>
      <c r="C47" s="193">
        <v>2</v>
      </c>
      <c r="D47" s="194">
        <v>719</v>
      </c>
      <c r="E47" s="195"/>
      <c r="F47" s="288"/>
      <c r="G47" s="196"/>
      <c r="H47" s="188"/>
      <c r="I47" s="188"/>
      <c r="J47" s="197"/>
      <c r="K47" s="197"/>
      <c r="L47" s="198"/>
      <c r="M47" s="199"/>
      <c r="N47" s="200"/>
      <c r="O47" s="341"/>
      <c r="P47" s="3"/>
    </row>
    <row r="48" spans="1:16" ht="19.5" customHeight="1" x14ac:dyDescent="0.2">
      <c r="A48" s="307"/>
      <c r="B48" s="254">
        <v>2026</v>
      </c>
      <c r="C48" s="193">
        <v>2</v>
      </c>
      <c r="D48" s="194" t="s">
        <v>41</v>
      </c>
      <c r="E48" s="195">
        <v>46111</v>
      </c>
      <c r="F48" s="288">
        <v>4.8</v>
      </c>
      <c r="G48" s="196">
        <v>78</v>
      </c>
      <c r="H48" s="188">
        <v>3</v>
      </c>
      <c r="I48" s="188" t="s">
        <v>30</v>
      </c>
      <c r="J48" s="197"/>
      <c r="K48" s="197" t="s">
        <v>29</v>
      </c>
      <c r="L48" s="198"/>
      <c r="M48" s="199"/>
      <c r="N48" s="200"/>
      <c r="O48" s="341"/>
      <c r="P48" s="3"/>
    </row>
    <row r="49" spans="1:16" ht="19.5" customHeight="1" x14ac:dyDescent="0.2">
      <c r="A49" s="307"/>
      <c r="B49" s="254">
        <v>2026</v>
      </c>
      <c r="C49" s="193">
        <v>2</v>
      </c>
      <c r="D49" s="194">
        <v>723</v>
      </c>
      <c r="E49" s="195">
        <v>46111</v>
      </c>
      <c r="F49" s="288">
        <v>4.7</v>
      </c>
      <c r="G49" s="196">
        <v>79</v>
      </c>
      <c r="H49" s="188">
        <v>3</v>
      </c>
      <c r="I49" s="188" t="s">
        <v>30</v>
      </c>
      <c r="J49" s="196"/>
      <c r="K49" s="197" t="s">
        <v>29</v>
      </c>
      <c r="L49" s="210"/>
      <c r="M49" s="211"/>
      <c r="N49" s="212"/>
      <c r="O49" s="341"/>
      <c r="P49" s="3"/>
    </row>
    <row r="50" spans="1:16" ht="19.5" customHeight="1" x14ac:dyDescent="0.2">
      <c r="A50" s="307"/>
      <c r="B50" s="254">
        <v>2026</v>
      </c>
      <c r="C50" s="193">
        <v>2</v>
      </c>
      <c r="D50" s="194">
        <v>724</v>
      </c>
      <c r="E50" s="195"/>
      <c r="F50" s="288"/>
      <c r="G50" s="196"/>
      <c r="H50" s="188"/>
      <c r="I50" s="188"/>
      <c r="J50" s="197"/>
      <c r="K50" s="197"/>
      <c r="L50" s="198"/>
      <c r="M50" s="199"/>
      <c r="N50" s="200"/>
      <c r="O50" s="341"/>
      <c r="P50" s="3"/>
    </row>
    <row r="51" spans="1:16" ht="19.5" customHeight="1" thickBot="1" x14ac:dyDescent="0.25">
      <c r="A51" s="307"/>
      <c r="B51" s="255">
        <v>2026</v>
      </c>
      <c r="C51" s="251">
        <v>2</v>
      </c>
      <c r="D51" s="213">
        <v>726</v>
      </c>
      <c r="E51" s="214">
        <v>46111</v>
      </c>
      <c r="F51" s="290">
        <v>4.0999999999999996</v>
      </c>
      <c r="G51" s="215">
        <v>115</v>
      </c>
      <c r="H51" s="216">
        <v>3</v>
      </c>
      <c r="I51" s="188" t="s">
        <v>30</v>
      </c>
      <c r="J51" s="217"/>
      <c r="K51" s="217" t="s">
        <v>29</v>
      </c>
      <c r="L51" s="218"/>
      <c r="M51" s="219"/>
      <c r="N51" s="220"/>
      <c r="O51" s="342"/>
      <c r="P51" s="3"/>
    </row>
    <row r="52" spans="1:16" ht="19.5" customHeight="1" thickBot="1" x14ac:dyDescent="0.25">
      <c r="A52" s="307"/>
      <c r="B52" s="252">
        <v>2026</v>
      </c>
      <c r="C52" s="28">
        <v>2</v>
      </c>
      <c r="D52" s="29">
        <v>809</v>
      </c>
      <c r="E52" s="26">
        <v>46113</v>
      </c>
      <c r="F52" s="291">
        <v>5.2</v>
      </c>
      <c r="G52" s="27">
        <v>112</v>
      </c>
      <c r="H52" s="28">
        <v>3</v>
      </c>
      <c r="I52" s="29" t="s">
        <v>28</v>
      </c>
      <c r="J52" s="30">
        <v>8</v>
      </c>
      <c r="K52" s="30" t="s">
        <v>29</v>
      </c>
      <c r="L52" s="31">
        <v>7</v>
      </c>
      <c r="M52" s="32">
        <v>12</v>
      </c>
      <c r="N52" s="33">
        <v>10.3</v>
      </c>
      <c r="O52" s="337" t="s">
        <v>8</v>
      </c>
      <c r="P52" s="3"/>
    </row>
    <row r="53" spans="1:16" ht="19.5" customHeight="1" thickBot="1" x14ac:dyDescent="0.25">
      <c r="A53" s="307"/>
      <c r="B53" s="250">
        <v>2026</v>
      </c>
      <c r="C53" s="36">
        <v>2</v>
      </c>
      <c r="D53" s="37">
        <v>812</v>
      </c>
      <c r="E53" s="34">
        <v>46111</v>
      </c>
      <c r="F53" s="292">
        <v>6.8</v>
      </c>
      <c r="G53" s="35">
        <v>118</v>
      </c>
      <c r="H53" s="36">
        <v>3</v>
      </c>
      <c r="I53" s="37" t="s">
        <v>30</v>
      </c>
      <c r="J53" s="38"/>
      <c r="K53" s="38" t="s">
        <v>29</v>
      </c>
      <c r="L53" s="39"/>
      <c r="M53" s="40"/>
      <c r="N53" s="41"/>
      <c r="O53" s="337"/>
      <c r="P53" s="3"/>
    </row>
    <row r="54" spans="1:16" ht="19.5" customHeight="1" thickBot="1" x14ac:dyDescent="0.25">
      <c r="A54" s="307"/>
      <c r="B54" s="249">
        <v>2026</v>
      </c>
      <c r="C54" s="44">
        <v>2</v>
      </c>
      <c r="D54" s="58">
        <v>815</v>
      </c>
      <c r="E54" s="42">
        <v>46111</v>
      </c>
      <c r="F54" s="293">
        <v>3.1</v>
      </c>
      <c r="G54" s="43">
        <v>170</v>
      </c>
      <c r="H54" s="44">
        <v>3</v>
      </c>
      <c r="I54" s="45" t="s">
        <v>30</v>
      </c>
      <c r="J54" s="46"/>
      <c r="K54" s="46" t="s">
        <v>29</v>
      </c>
      <c r="L54" s="47"/>
      <c r="M54" s="48"/>
      <c r="N54" s="49"/>
      <c r="O54" s="337"/>
      <c r="P54" s="3"/>
    </row>
    <row r="55" spans="1:16" ht="19.5" customHeight="1" thickBot="1" x14ac:dyDescent="0.25">
      <c r="A55" s="307"/>
      <c r="B55" s="249">
        <v>2026</v>
      </c>
      <c r="C55" s="44">
        <v>2</v>
      </c>
      <c r="D55" s="58">
        <v>901</v>
      </c>
      <c r="E55" s="50">
        <v>46113</v>
      </c>
      <c r="F55" s="294">
        <v>3.6</v>
      </c>
      <c r="G55" s="43">
        <v>146</v>
      </c>
      <c r="H55" s="44"/>
      <c r="I55" s="45"/>
      <c r="J55" s="46"/>
      <c r="K55" s="46"/>
      <c r="L55" s="47"/>
      <c r="M55" s="48"/>
      <c r="N55" s="49"/>
      <c r="O55" s="337"/>
      <c r="P55" s="3"/>
    </row>
    <row r="56" spans="1:16" ht="19.5" customHeight="1" thickBot="1" x14ac:dyDescent="0.25">
      <c r="A56" s="307"/>
      <c r="B56" s="249">
        <v>2026</v>
      </c>
      <c r="C56" s="44">
        <v>2</v>
      </c>
      <c r="D56" s="58" t="s">
        <v>35</v>
      </c>
      <c r="E56" s="50">
        <v>46113</v>
      </c>
      <c r="F56" s="294">
        <v>2.9</v>
      </c>
      <c r="G56" s="43">
        <v>178</v>
      </c>
      <c r="H56" s="44">
        <v>3</v>
      </c>
      <c r="I56" s="45" t="s">
        <v>30</v>
      </c>
      <c r="J56" s="46"/>
      <c r="K56" s="46" t="s">
        <v>29</v>
      </c>
      <c r="L56" s="47"/>
      <c r="M56" s="48"/>
      <c r="N56" s="49"/>
      <c r="O56" s="337"/>
      <c r="P56" s="3"/>
    </row>
    <row r="57" spans="1:16" ht="19.5" customHeight="1" thickBot="1" x14ac:dyDescent="0.25">
      <c r="A57" s="307"/>
      <c r="B57" s="249">
        <v>2026</v>
      </c>
      <c r="C57" s="44">
        <v>2</v>
      </c>
      <c r="D57" s="58" t="s">
        <v>42</v>
      </c>
      <c r="E57" s="50">
        <v>46111</v>
      </c>
      <c r="F57" s="294">
        <v>4.2</v>
      </c>
      <c r="G57" s="43">
        <v>173</v>
      </c>
      <c r="H57" s="44">
        <v>3</v>
      </c>
      <c r="I57" s="45" t="s">
        <v>30</v>
      </c>
      <c r="J57" s="46"/>
      <c r="K57" s="46" t="s">
        <v>29</v>
      </c>
      <c r="L57" s="47"/>
      <c r="M57" s="48"/>
      <c r="N57" s="49"/>
      <c r="O57" s="337"/>
      <c r="P57" s="3"/>
    </row>
    <row r="58" spans="1:16" ht="19.5" customHeight="1" thickBot="1" x14ac:dyDescent="0.25">
      <c r="A58" s="307"/>
      <c r="B58" s="249">
        <v>2026</v>
      </c>
      <c r="C58" s="44">
        <v>2</v>
      </c>
      <c r="D58" s="58">
        <v>910</v>
      </c>
      <c r="E58" s="50">
        <v>46111</v>
      </c>
      <c r="F58" s="294">
        <v>4.0999999999999996</v>
      </c>
      <c r="G58" s="43">
        <v>130</v>
      </c>
      <c r="H58" s="44">
        <v>3</v>
      </c>
      <c r="I58" s="45" t="s">
        <v>30</v>
      </c>
      <c r="J58" s="46"/>
      <c r="K58" s="46" t="s">
        <v>29</v>
      </c>
      <c r="L58" s="47"/>
      <c r="M58" s="48"/>
      <c r="N58" s="49"/>
      <c r="O58" s="337"/>
      <c r="P58" s="3"/>
    </row>
    <row r="59" spans="1:16" ht="19.5" customHeight="1" thickBot="1" x14ac:dyDescent="0.25">
      <c r="A59" s="319"/>
      <c r="B59" s="249">
        <v>2026</v>
      </c>
      <c r="C59" s="44">
        <v>2</v>
      </c>
      <c r="D59" s="58">
        <v>912</v>
      </c>
      <c r="E59" s="50">
        <v>46111</v>
      </c>
      <c r="F59" s="294">
        <v>4.5999999999999996</v>
      </c>
      <c r="G59" s="43">
        <v>117</v>
      </c>
      <c r="H59" s="44">
        <v>3</v>
      </c>
      <c r="I59" s="45" t="s">
        <v>30</v>
      </c>
      <c r="J59" s="46"/>
      <c r="K59" s="46" t="s">
        <v>29</v>
      </c>
      <c r="L59" s="47"/>
      <c r="M59" s="48"/>
      <c r="N59" s="49"/>
      <c r="O59" s="337"/>
      <c r="P59" s="3"/>
    </row>
    <row r="60" spans="1:16" ht="19.5" customHeight="1" thickBot="1" x14ac:dyDescent="0.25">
      <c r="A60" s="320"/>
      <c r="B60" s="249">
        <v>2026</v>
      </c>
      <c r="C60" s="44">
        <v>2</v>
      </c>
      <c r="D60" s="58">
        <v>914</v>
      </c>
      <c r="E60" s="50">
        <v>46113</v>
      </c>
      <c r="F60" s="294">
        <v>5.8</v>
      </c>
      <c r="G60" s="43">
        <v>200</v>
      </c>
      <c r="H60" s="44">
        <v>3</v>
      </c>
      <c r="I60" s="45" t="s">
        <v>30</v>
      </c>
      <c r="J60" s="46"/>
      <c r="K60" s="46" t="s">
        <v>29</v>
      </c>
      <c r="L60" s="47"/>
      <c r="M60" s="48"/>
      <c r="N60" s="49"/>
      <c r="O60" s="337"/>
      <c r="P60" s="3"/>
    </row>
    <row r="61" spans="1:16" ht="19.5" customHeight="1" thickBot="1" x14ac:dyDescent="0.25">
      <c r="A61" s="321"/>
      <c r="B61" s="249">
        <v>2026</v>
      </c>
      <c r="C61" s="44">
        <v>2</v>
      </c>
      <c r="D61" s="58">
        <v>915</v>
      </c>
      <c r="E61" s="50">
        <v>46113</v>
      </c>
      <c r="F61" s="294">
        <v>2.9</v>
      </c>
      <c r="G61" s="43">
        <v>181</v>
      </c>
      <c r="H61" s="44">
        <v>3</v>
      </c>
      <c r="I61" s="45" t="s">
        <v>28</v>
      </c>
      <c r="J61" s="46">
        <v>1</v>
      </c>
      <c r="K61" s="46" t="s">
        <v>29</v>
      </c>
      <c r="L61" s="47">
        <v>10</v>
      </c>
      <c r="M61" s="48">
        <v>10</v>
      </c>
      <c r="N61" s="49">
        <v>10</v>
      </c>
      <c r="O61" s="337"/>
      <c r="P61" s="3"/>
    </row>
    <row r="62" spans="1:16" ht="19.5" customHeight="1" thickBot="1" x14ac:dyDescent="0.25">
      <c r="A62" s="226"/>
      <c r="B62" s="260">
        <v>2026</v>
      </c>
      <c r="C62" s="261">
        <v>2</v>
      </c>
      <c r="D62" s="262">
        <v>918</v>
      </c>
      <c r="E62" s="263"/>
      <c r="F62" s="295"/>
      <c r="G62" s="264"/>
      <c r="H62" s="261"/>
      <c r="I62" s="265" t="s">
        <v>31</v>
      </c>
      <c r="J62" s="266"/>
      <c r="K62" s="266"/>
      <c r="L62" s="267"/>
      <c r="M62" s="268"/>
      <c r="N62" s="269"/>
      <c r="O62" s="337"/>
      <c r="P62" s="3"/>
    </row>
    <row r="63" spans="1:16" ht="19.5" customHeight="1" thickBot="1" x14ac:dyDescent="0.25">
      <c r="A63" s="224"/>
      <c r="B63" s="253">
        <v>2026</v>
      </c>
      <c r="C63" s="53">
        <v>2</v>
      </c>
      <c r="D63" s="59">
        <v>919</v>
      </c>
      <c r="E63" s="51">
        <v>46111</v>
      </c>
      <c r="F63" s="296">
        <v>7.5</v>
      </c>
      <c r="G63" s="52">
        <v>200</v>
      </c>
      <c r="H63" s="53">
        <v>3</v>
      </c>
      <c r="I63" s="45" t="s">
        <v>30</v>
      </c>
      <c r="J63" s="54"/>
      <c r="K63" s="54" t="s">
        <v>29</v>
      </c>
      <c r="L63" s="55"/>
      <c r="M63" s="56"/>
      <c r="N63" s="57"/>
      <c r="O63" s="337"/>
      <c r="P63" s="6"/>
    </row>
    <row r="64" spans="1:16" ht="19.5" customHeight="1" x14ac:dyDescent="0.2">
      <c r="A64" s="224"/>
      <c r="B64" s="221" t="s">
        <v>36</v>
      </c>
      <c r="C64" s="222"/>
      <c r="D64" s="222"/>
      <c r="E64" s="222"/>
      <c r="F64" s="222"/>
      <c r="G64" s="222"/>
      <c r="H64" s="222"/>
      <c r="I64" s="223"/>
      <c r="J64" s="222"/>
      <c r="K64" s="222"/>
      <c r="L64" s="222"/>
      <c r="M64" s="222"/>
      <c r="N64" s="322"/>
      <c r="O64" s="224"/>
      <c r="P64" s="5"/>
    </row>
    <row r="65" spans="1:16" ht="19.5" customHeight="1" x14ac:dyDescent="0.2">
      <c r="A65" s="224"/>
      <c r="B65" s="221" t="s">
        <v>37</v>
      </c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323"/>
      <c r="O65" s="225"/>
      <c r="P65" s="11"/>
    </row>
    <row r="66" spans="1:16" ht="19.5" customHeight="1" x14ac:dyDescent="0.2">
      <c r="A66" s="224"/>
      <c r="B66" s="221" t="s">
        <v>38</v>
      </c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323"/>
      <c r="O66" s="224"/>
      <c r="P66" s="17"/>
    </row>
    <row r="67" spans="1:16" ht="15" customHeight="1" x14ac:dyDescent="0.2">
      <c r="A67" s="224"/>
      <c r="B67" s="227" t="s">
        <v>47</v>
      </c>
      <c r="C67" s="24"/>
      <c r="D67" s="24"/>
      <c r="E67" s="224"/>
      <c r="F67" s="224"/>
      <c r="G67" s="224"/>
      <c r="H67" s="224"/>
      <c r="I67" s="24"/>
      <c r="J67" s="24"/>
      <c r="K67" s="24"/>
      <c r="L67" s="24"/>
      <c r="M67" s="24"/>
      <c r="N67" s="24"/>
      <c r="P67" s="8"/>
    </row>
    <row r="68" spans="1:16" ht="15" customHeight="1" x14ac:dyDescent="0.2">
      <c r="A68" s="14"/>
      <c r="B68" s="14"/>
      <c r="C68" s="14"/>
      <c r="D68" s="14"/>
      <c r="E68" s="14"/>
      <c r="F68" s="24"/>
      <c r="I68" s="4"/>
      <c r="N68" s="4"/>
      <c r="O68" s="4"/>
    </row>
    <row r="69" spans="1:16" ht="15" customHeight="1" x14ac:dyDescent="0.2">
      <c r="F69" s="224"/>
      <c r="G69" s="14"/>
      <c r="I69" s="4"/>
      <c r="N69" s="4"/>
      <c r="O69" s="4"/>
    </row>
    <row r="70" spans="1:16" ht="15" customHeight="1" x14ac:dyDescent="0.2">
      <c r="F70" s="226"/>
      <c r="G70" s="14"/>
      <c r="I70" s="4"/>
      <c r="N70" s="4"/>
      <c r="O70" s="4"/>
    </row>
    <row r="71" spans="1:16" ht="15" customHeight="1" x14ac:dyDescent="0.2">
      <c r="I71" s="10" t="s">
        <v>13</v>
      </c>
      <c r="J71" s="4">
        <v>174</v>
      </c>
      <c r="P71" s="14"/>
    </row>
    <row r="72" spans="1:16" ht="15" customHeight="1" x14ac:dyDescent="0.2">
      <c r="I72" s="10" t="s">
        <v>14</v>
      </c>
      <c r="J72" s="4">
        <v>66</v>
      </c>
      <c r="P72" s="14"/>
    </row>
    <row r="73" spans="1:16" ht="15" customHeight="1" x14ac:dyDescent="0.2">
      <c r="I73" s="10" t="s">
        <v>15</v>
      </c>
      <c r="J73" s="13">
        <f>J72/J71</f>
        <v>0.37931034482758619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K75" s="226"/>
      <c r="N75" s="4"/>
      <c r="O75" s="4"/>
    </row>
    <row r="76" spans="1:16" x14ac:dyDescent="0.2">
      <c r="I76" s="248" t="s">
        <v>18</v>
      </c>
      <c r="J76" s="18">
        <f>SUM(J16:J21)</f>
        <v>0</v>
      </c>
      <c r="K76" s="226"/>
      <c r="N76" s="4"/>
      <c r="O76" s="4"/>
    </row>
    <row r="77" spans="1:16" x14ac:dyDescent="0.2">
      <c r="I77" s="248" t="s">
        <v>21</v>
      </c>
      <c r="J77" s="18">
        <f>SUM(J22:J24)</f>
        <v>0</v>
      </c>
      <c r="K77" s="226"/>
      <c r="N77" s="4"/>
      <c r="O77" s="4"/>
    </row>
    <row r="78" spans="1:16" x14ac:dyDescent="0.2">
      <c r="I78" s="248" t="s">
        <v>22</v>
      </c>
      <c r="J78" s="18">
        <f>SUM(J25:J33)</f>
        <v>0</v>
      </c>
      <c r="K78" s="226"/>
      <c r="N78" s="4"/>
      <c r="O78" s="4"/>
    </row>
    <row r="79" spans="1:16" x14ac:dyDescent="0.2">
      <c r="I79" s="248" t="s">
        <v>6</v>
      </c>
      <c r="J79" s="18">
        <f>SUM(J34:J38)</f>
        <v>33</v>
      </c>
      <c r="K79" s="226"/>
      <c r="N79" s="4"/>
      <c r="O79" s="4"/>
    </row>
    <row r="80" spans="1:16" x14ac:dyDescent="0.2">
      <c r="I80" s="248" t="s">
        <v>23</v>
      </c>
      <c r="J80" s="18">
        <f>SUM(J39:J51)</f>
        <v>33</v>
      </c>
      <c r="K80" s="226"/>
      <c r="N80" s="4"/>
      <c r="O80" s="4"/>
    </row>
    <row r="81" spans="9:15" x14ac:dyDescent="0.2">
      <c r="I81" s="248" t="s">
        <v>27</v>
      </c>
      <c r="J81" s="18">
        <f>SUM(J52:J53)</f>
        <v>8</v>
      </c>
      <c r="K81" s="226"/>
      <c r="N81" s="4"/>
      <c r="O81" s="4"/>
    </row>
    <row r="82" spans="9:15" x14ac:dyDescent="0.2">
      <c r="I82" s="248" t="s">
        <v>24</v>
      </c>
      <c r="J82" s="18">
        <f>SUM(J54:J63)</f>
        <v>1</v>
      </c>
      <c r="K82" s="226"/>
      <c r="N82" s="4"/>
      <c r="O82" s="4"/>
    </row>
    <row r="83" spans="9:15" x14ac:dyDescent="0.2">
      <c r="J83" s="18">
        <f>SUM(J75:J82)</f>
        <v>75</v>
      </c>
      <c r="K83" s="226"/>
      <c r="N83" s="4"/>
      <c r="O83" s="4"/>
    </row>
    <row r="87" spans="9:15" ht="12.75" x14ac:dyDescent="0.2">
      <c r="I87" s="4"/>
      <c r="N87" s="4"/>
      <c r="O87" s="4"/>
    </row>
    <row r="88" spans="9:15" ht="12.75" x14ac:dyDescent="0.2">
      <c r="I88" s="4"/>
      <c r="N88" s="4"/>
      <c r="O88" s="4"/>
    </row>
    <row r="89" spans="9:15" ht="12.75" x14ac:dyDescent="0.2">
      <c r="I89" s="4"/>
      <c r="N89" s="4"/>
      <c r="O89" s="4"/>
    </row>
    <row r="90" spans="9:15" ht="12.75" x14ac:dyDescent="0.2">
      <c r="I90" s="4"/>
      <c r="N90" s="4"/>
      <c r="O90" s="4"/>
    </row>
    <row r="91" spans="9:15" ht="12.75" x14ac:dyDescent="0.2">
      <c r="I91" s="4"/>
      <c r="N91" s="4"/>
      <c r="O91" s="4"/>
    </row>
    <row r="92" spans="9:15" ht="12.75" x14ac:dyDescent="0.2">
      <c r="I92" s="4"/>
      <c r="N92" s="4"/>
      <c r="O92" s="4"/>
    </row>
    <row r="93" spans="9:15" ht="12.75" x14ac:dyDescent="0.2">
      <c r="I93" s="4"/>
      <c r="N93" s="4"/>
      <c r="O93" s="4"/>
    </row>
    <row r="94" spans="9:15" ht="12.75" x14ac:dyDescent="0.2">
      <c r="I94" s="4"/>
      <c r="N94" s="4"/>
      <c r="O94" s="4"/>
    </row>
    <row r="95" spans="9:15" ht="12.75" x14ac:dyDescent="0.2">
      <c r="I95" s="4"/>
      <c r="N95" s="4"/>
      <c r="O95" s="4"/>
    </row>
    <row r="96" spans="9:15" ht="12.75" x14ac:dyDescent="0.2">
      <c r="I96" s="4"/>
      <c r="N96" s="4"/>
      <c r="O96" s="4"/>
    </row>
    <row r="97" s="4" customFormat="1" ht="12.75" x14ac:dyDescent="0.2"/>
    <row r="98" s="4" customFormat="1" ht="12.75" x14ac:dyDescent="0.2"/>
    <row r="99" s="4" customFormat="1" ht="12.75" x14ac:dyDescent="0.2"/>
    <row r="100" s="4" customFormat="1" ht="12.75" x14ac:dyDescent="0.2"/>
    <row r="101" s="4" customFormat="1" ht="12.75" x14ac:dyDescent="0.2"/>
    <row r="102" s="4" customFormat="1" ht="12.75" x14ac:dyDescent="0.2"/>
    <row r="103" s="4" customFormat="1" ht="12.75" x14ac:dyDescent="0.2"/>
    <row r="104" s="4" customFormat="1" ht="12.75" x14ac:dyDescent="0.2"/>
    <row r="105" s="4" customFormat="1" ht="12.75" x14ac:dyDescent="0.2"/>
    <row r="106" s="4" customFormat="1" ht="12.75" x14ac:dyDescent="0.2"/>
    <row r="107" s="4" customFormat="1" ht="12.75" x14ac:dyDescent="0.2"/>
    <row r="108" s="4" customFormat="1" ht="12.75" x14ac:dyDescent="0.2"/>
    <row r="109" s="4" customFormat="1" ht="12.75" x14ac:dyDescent="0.2"/>
    <row r="110" s="4" customFormat="1" ht="12.75" x14ac:dyDescent="0.2"/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I3:I63" xr:uid="{0C99AD9B-6470-48E1-9941-6F467D28E7C7}">
      <formula1>"Not Processed, No Smelt Catch, Not Sampled, Longfin Smelt, Delta Smelt"</formula1>
    </dataValidation>
    <dataValidation type="list" allowBlank="1" showInputMessage="1" showErrorMessage="1" sqref="K3:K63" xr:uid="{CFA7E3CE-D631-4CCD-AD0E-C230467F378C}">
      <formula1>"Preliminary, Complete"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DC50-9A2A-4246-ACFF-3FF293A1B693}">
  <dimension ref="A1:P110"/>
  <sheetViews>
    <sheetView tabSelected="1" topLeftCell="A56" workbookViewId="0">
      <selection activeCell="K80" sqref="K80"/>
    </sheetView>
  </sheetViews>
  <sheetFormatPr defaultColWidth="9.140625" defaultRowHeight="14.25" x14ac:dyDescent="0.2"/>
  <cols>
    <col min="1" max="1" width="9.140625" style="4"/>
    <col min="2" max="2" width="5.85546875" style="4" customWidth="1"/>
    <col min="3" max="4" width="8.28515625" style="4" customWidth="1"/>
    <col min="5" max="5" width="8.5703125" style="4" customWidth="1"/>
    <col min="6" max="6" width="9.7109375" style="4" customWidth="1"/>
    <col min="7" max="7" width="8.140625" style="4" customWidth="1"/>
    <col min="8" max="8" width="12.140625" style="4" customWidth="1"/>
    <col min="9" max="9" width="16.42578125" style="10" customWidth="1"/>
    <col min="10" max="10" width="7" style="4" customWidth="1"/>
    <col min="11" max="11" width="16.140625" style="4" customWidth="1"/>
    <col min="12" max="12" width="8.140625" style="4" customWidth="1"/>
    <col min="13" max="13" width="7.85546875" style="4" customWidth="1"/>
    <col min="14" max="14" width="8.28515625" style="324" customWidth="1"/>
    <col min="15" max="15" width="7.7109375" style="226" customWidth="1"/>
    <col min="16" max="16" width="9.140625" style="4"/>
    <col min="17" max="17" width="16.42578125" style="4" customWidth="1"/>
    <col min="18" max="18" width="18.85546875" style="4" customWidth="1"/>
    <col min="19" max="29" width="9.140625" style="4"/>
    <col min="30" max="30" width="14.5703125" style="4" bestFit="1" customWidth="1"/>
    <col min="31" max="16384" width="9.140625" style="4"/>
  </cols>
  <sheetData>
    <row r="1" spans="1:16" ht="15" thickBot="1" x14ac:dyDescent="0.25">
      <c r="A1" s="1"/>
      <c r="B1" s="2"/>
      <c r="C1" s="2"/>
      <c r="D1" s="2"/>
      <c r="E1" s="2"/>
      <c r="F1" s="300"/>
      <c r="G1" s="2"/>
      <c r="H1" s="2"/>
      <c r="I1" s="9"/>
      <c r="J1" s="2"/>
      <c r="K1" s="2"/>
      <c r="L1" s="2"/>
      <c r="M1" s="2"/>
      <c r="N1" s="326"/>
      <c r="O1" s="327"/>
      <c r="P1" s="3"/>
    </row>
    <row r="2" spans="1:16" s="306" customFormat="1" ht="36" customHeight="1" thickBot="1" x14ac:dyDescent="0.25">
      <c r="A2" s="302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32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303" t="s">
        <v>11</v>
      </c>
      <c r="O2" s="328"/>
      <c r="P2" s="305"/>
    </row>
    <row r="3" spans="1:16" ht="19.5" customHeight="1" thickBot="1" x14ac:dyDescent="0.25">
      <c r="A3" s="307"/>
      <c r="B3" s="61">
        <v>2026</v>
      </c>
      <c r="C3" s="61">
        <v>3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4" t="s">
        <v>25</v>
      </c>
      <c r="P3" s="3"/>
    </row>
    <row r="4" spans="1:16" ht="19.5" customHeight="1" thickBot="1" x14ac:dyDescent="0.25">
      <c r="A4" s="307"/>
      <c r="B4" s="67">
        <v>2026</v>
      </c>
      <c r="C4" s="68">
        <v>3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4"/>
      <c r="P4" s="3"/>
    </row>
    <row r="5" spans="1:16" ht="19.5" customHeight="1" thickBot="1" x14ac:dyDescent="0.25">
      <c r="A5" s="307"/>
      <c r="B5" s="67">
        <v>2026</v>
      </c>
      <c r="C5" s="68">
        <v>3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4"/>
      <c r="P5" s="3"/>
    </row>
    <row r="6" spans="1:16" ht="19.5" customHeight="1" thickBot="1" x14ac:dyDescent="0.25">
      <c r="A6" s="307"/>
      <c r="B6" s="67">
        <v>2026</v>
      </c>
      <c r="C6" s="68">
        <v>3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4"/>
      <c r="P6" s="3"/>
    </row>
    <row r="7" spans="1:16" ht="19.5" customHeight="1" thickBot="1" x14ac:dyDescent="0.25">
      <c r="A7" s="307"/>
      <c r="B7" s="67">
        <v>2026</v>
      </c>
      <c r="C7" s="68">
        <v>3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4"/>
      <c r="P7" s="3"/>
    </row>
    <row r="8" spans="1:16" ht="19.5" customHeight="1" thickBot="1" x14ac:dyDescent="0.25">
      <c r="A8" s="307"/>
      <c r="B8" s="67">
        <v>2026</v>
      </c>
      <c r="C8" s="68">
        <v>3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4"/>
      <c r="P8" s="3"/>
    </row>
    <row r="9" spans="1:16" ht="19.5" customHeight="1" thickBot="1" x14ac:dyDescent="0.25">
      <c r="A9" s="307"/>
      <c r="B9" s="67">
        <v>2026</v>
      </c>
      <c r="C9" s="68">
        <v>3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4"/>
      <c r="P9" s="3"/>
    </row>
    <row r="10" spans="1:16" ht="19.5" customHeight="1" thickBot="1" x14ac:dyDescent="0.25">
      <c r="A10" s="307"/>
      <c r="B10" s="67">
        <v>2026</v>
      </c>
      <c r="C10" s="68">
        <v>3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4"/>
      <c r="P10" s="3"/>
    </row>
    <row r="11" spans="1:16" ht="19.5" customHeight="1" thickBot="1" x14ac:dyDescent="0.25">
      <c r="A11" s="307"/>
      <c r="B11" s="67">
        <v>2026</v>
      </c>
      <c r="C11" s="68">
        <v>3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4"/>
      <c r="P11" s="3"/>
    </row>
    <row r="12" spans="1:16" ht="19.5" customHeight="1" thickBot="1" x14ac:dyDescent="0.25">
      <c r="A12" s="307"/>
      <c r="B12" s="67">
        <v>2026</v>
      </c>
      <c r="C12" s="68">
        <v>3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4"/>
      <c r="P12" s="3"/>
    </row>
    <row r="13" spans="1:16" ht="19.5" customHeight="1" thickBot="1" x14ac:dyDescent="0.25">
      <c r="A13" s="307"/>
      <c r="B13" s="67">
        <v>2026</v>
      </c>
      <c r="C13" s="68">
        <v>3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4"/>
      <c r="P13" s="3"/>
    </row>
    <row r="14" spans="1:16" ht="19.5" customHeight="1" thickBot="1" x14ac:dyDescent="0.25">
      <c r="A14" s="307"/>
      <c r="B14" s="67">
        <v>2026</v>
      </c>
      <c r="C14" s="68">
        <v>3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4"/>
      <c r="P14" s="3"/>
    </row>
    <row r="15" spans="1:16" ht="19.5" customHeight="1" thickBot="1" x14ac:dyDescent="0.25">
      <c r="A15" s="307"/>
      <c r="B15" s="75">
        <v>2026</v>
      </c>
      <c r="C15" s="68">
        <v>3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4"/>
      <c r="P15" s="3"/>
    </row>
    <row r="16" spans="1:16" ht="19.5" customHeight="1" thickBot="1" x14ac:dyDescent="0.25">
      <c r="A16" s="307"/>
      <c r="B16" s="81">
        <v>2026</v>
      </c>
      <c r="C16" s="82">
        <v>3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35" t="s">
        <v>18</v>
      </c>
      <c r="P16" s="3"/>
    </row>
    <row r="17" spans="1:16" ht="19.5" customHeight="1" thickBot="1" x14ac:dyDescent="0.25">
      <c r="A17" s="307"/>
      <c r="B17" s="89">
        <v>2026</v>
      </c>
      <c r="C17" s="89">
        <v>3</v>
      </c>
      <c r="D17" s="90">
        <v>342</v>
      </c>
      <c r="E17" s="91"/>
      <c r="F17" s="276"/>
      <c r="G17" s="92"/>
      <c r="H17" s="90"/>
      <c r="I17" s="90"/>
      <c r="J17" s="93"/>
      <c r="K17" s="93"/>
      <c r="L17" s="94"/>
      <c r="M17" s="95"/>
      <c r="N17" s="96"/>
      <c r="O17" s="335"/>
      <c r="P17" s="3"/>
    </row>
    <row r="18" spans="1:16" ht="19.5" customHeight="1" thickBot="1" x14ac:dyDescent="0.25">
      <c r="A18" s="307"/>
      <c r="B18" s="89">
        <v>2026</v>
      </c>
      <c r="C18" s="89">
        <v>3</v>
      </c>
      <c r="D18" s="90">
        <v>343</v>
      </c>
      <c r="E18" s="91"/>
      <c r="F18" s="276"/>
      <c r="G18" s="92"/>
      <c r="H18" s="90"/>
      <c r="I18" s="90"/>
      <c r="J18" s="93"/>
      <c r="K18" s="93"/>
      <c r="L18" s="94"/>
      <c r="M18" s="95"/>
      <c r="N18" s="96"/>
      <c r="O18" s="335"/>
      <c r="P18" s="3"/>
    </row>
    <row r="19" spans="1:16" ht="19.5" customHeight="1" thickBot="1" x14ac:dyDescent="0.25">
      <c r="A19" s="307"/>
      <c r="B19" s="89">
        <v>2026</v>
      </c>
      <c r="C19" s="89">
        <v>3</v>
      </c>
      <c r="D19" s="90">
        <v>344</v>
      </c>
      <c r="E19" s="91"/>
      <c r="F19" s="276"/>
      <c r="G19" s="92"/>
      <c r="H19" s="90"/>
      <c r="I19" s="90"/>
      <c r="J19" s="93"/>
      <c r="K19" s="93"/>
      <c r="L19" s="94"/>
      <c r="M19" s="95"/>
      <c r="N19" s="96"/>
      <c r="O19" s="335"/>
      <c r="P19" s="3"/>
    </row>
    <row r="20" spans="1:16" ht="19.5" customHeight="1" thickBot="1" x14ac:dyDescent="0.25">
      <c r="A20" s="307"/>
      <c r="B20" s="89">
        <v>2026</v>
      </c>
      <c r="C20" s="89">
        <v>3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35"/>
      <c r="P20" s="3"/>
    </row>
    <row r="21" spans="1:16" ht="19.5" customHeight="1" thickBot="1" x14ac:dyDescent="0.25">
      <c r="A21" s="307"/>
      <c r="B21" s="97">
        <v>2026</v>
      </c>
      <c r="C21" s="98">
        <v>3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35"/>
      <c r="P21" s="3"/>
    </row>
    <row r="22" spans="1:16" ht="19.5" customHeight="1" thickBot="1" x14ac:dyDescent="0.25">
      <c r="A22" s="307"/>
      <c r="B22" s="106">
        <v>2026</v>
      </c>
      <c r="C22" s="107">
        <v>3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9" t="s">
        <v>19</v>
      </c>
      <c r="P22" s="3"/>
    </row>
    <row r="23" spans="1:16" ht="19.5" customHeight="1" thickBot="1" x14ac:dyDescent="0.25">
      <c r="A23" s="307"/>
      <c r="B23" s="106">
        <v>2026</v>
      </c>
      <c r="C23" s="114">
        <v>3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9"/>
      <c r="P23" s="3"/>
    </row>
    <row r="24" spans="1:16" ht="19.5" customHeight="1" thickBot="1" x14ac:dyDescent="0.25">
      <c r="A24" s="307"/>
      <c r="B24" s="121">
        <v>2026</v>
      </c>
      <c r="C24" s="121">
        <v>3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9"/>
      <c r="P24" s="3"/>
    </row>
    <row r="25" spans="1:16" ht="19.5" customHeight="1" thickBot="1" x14ac:dyDescent="0.25">
      <c r="A25" s="307"/>
      <c r="B25" s="129">
        <v>2026</v>
      </c>
      <c r="C25" s="129">
        <v>3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38" t="s">
        <v>26</v>
      </c>
      <c r="P25" s="3"/>
    </row>
    <row r="26" spans="1:16" ht="19.5" customHeight="1" thickBot="1" x14ac:dyDescent="0.25">
      <c r="A26" s="307"/>
      <c r="B26" s="137">
        <v>2026</v>
      </c>
      <c r="C26" s="137">
        <v>3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38"/>
      <c r="P26" s="3"/>
    </row>
    <row r="27" spans="1:16" ht="19.5" customHeight="1" thickBot="1" x14ac:dyDescent="0.25">
      <c r="A27" s="307"/>
      <c r="B27" s="137">
        <v>2026</v>
      </c>
      <c r="C27" s="137">
        <v>3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38"/>
      <c r="P27" s="3"/>
    </row>
    <row r="28" spans="1:16" ht="19.5" customHeight="1" thickBot="1" x14ac:dyDescent="0.25">
      <c r="A28" s="307"/>
      <c r="B28" s="137">
        <v>2026</v>
      </c>
      <c r="C28" s="137">
        <v>3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38"/>
      <c r="P28" s="3"/>
    </row>
    <row r="29" spans="1:16" ht="19.5" customHeight="1" thickBot="1" x14ac:dyDescent="0.25">
      <c r="A29" s="307"/>
      <c r="B29" s="137">
        <v>2026</v>
      </c>
      <c r="C29" s="137">
        <v>3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38"/>
      <c r="P29" s="3"/>
    </row>
    <row r="30" spans="1:16" ht="19.5" customHeight="1" thickBot="1" x14ac:dyDescent="0.25">
      <c r="A30" s="307"/>
      <c r="B30" s="137">
        <v>2026</v>
      </c>
      <c r="C30" s="137">
        <v>3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38"/>
      <c r="P30" s="3"/>
    </row>
    <row r="31" spans="1:16" ht="19.5" customHeight="1" thickBot="1" x14ac:dyDescent="0.25">
      <c r="A31" s="307"/>
      <c r="B31" s="137">
        <v>2026</v>
      </c>
      <c r="C31" s="137">
        <v>3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38"/>
      <c r="P31" s="3"/>
    </row>
    <row r="32" spans="1:16" ht="19.5" customHeight="1" thickBot="1" x14ac:dyDescent="0.25">
      <c r="A32" s="307"/>
      <c r="B32" s="137">
        <v>2026</v>
      </c>
      <c r="C32" s="137">
        <v>3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38"/>
      <c r="P32" s="3"/>
    </row>
    <row r="33" spans="1:16" ht="19.5" customHeight="1" thickBot="1" x14ac:dyDescent="0.25">
      <c r="A33" s="307"/>
      <c r="B33" s="147">
        <v>2026</v>
      </c>
      <c r="C33" s="148">
        <v>3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38"/>
      <c r="P33" s="3"/>
    </row>
    <row r="34" spans="1:16" ht="19.5" customHeight="1" thickBot="1" x14ac:dyDescent="0.25">
      <c r="A34" s="307"/>
      <c r="B34" s="257">
        <v>2026</v>
      </c>
      <c r="C34" s="157">
        <v>3</v>
      </c>
      <c r="D34" s="158">
        <v>508</v>
      </c>
      <c r="E34" s="159"/>
      <c r="F34" s="284"/>
      <c r="G34" s="160"/>
      <c r="H34" s="161"/>
      <c r="I34" s="162"/>
      <c r="J34" s="162"/>
      <c r="K34" s="162"/>
      <c r="L34" s="163"/>
      <c r="M34" s="164"/>
      <c r="N34" s="165"/>
      <c r="O34" s="336" t="s">
        <v>6</v>
      </c>
      <c r="P34" s="3"/>
    </row>
    <row r="35" spans="1:16" ht="19.5" customHeight="1" thickBot="1" x14ac:dyDescent="0.25">
      <c r="A35" s="307"/>
      <c r="B35" s="258">
        <v>2026</v>
      </c>
      <c r="C35" s="157">
        <v>3</v>
      </c>
      <c r="D35" s="166">
        <v>513</v>
      </c>
      <c r="E35" s="167"/>
      <c r="F35" s="285"/>
      <c r="G35" s="168"/>
      <c r="H35" s="169"/>
      <c r="I35" s="170"/>
      <c r="J35" s="170"/>
      <c r="K35" s="170"/>
      <c r="L35" s="171"/>
      <c r="M35" s="172"/>
      <c r="N35" s="173"/>
      <c r="O35" s="336"/>
      <c r="P35" s="3"/>
    </row>
    <row r="36" spans="1:16" ht="19.5" customHeight="1" thickBot="1" x14ac:dyDescent="0.25">
      <c r="A36" s="307"/>
      <c r="B36" s="258">
        <v>2026</v>
      </c>
      <c r="C36" s="157">
        <v>3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36"/>
      <c r="P36" s="3"/>
    </row>
    <row r="37" spans="1:16" ht="19.5" customHeight="1" thickBot="1" x14ac:dyDescent="0.25">
      <c r="A37" s="307"/>
      <c r="B37" s="258">
        <v>2026</v>
      </c>
      <c r="C37" s="157">
        <v>3</v>
      </c>
      <c r="D37" s="166">
        <v>801</v>
      </c>
      <c r="E37" s="167"/>
      <c r="F37" s="285"/>
      <c r="G37" s="168"/>
      <c r="H37" s="169"/>
      <c r="I37" s="170"/>
      <c r="J37" s="170"/>
      <c r="K37" s="170"/>
      <c r="L37" s="171"/>
      <c r="M37" s="172"/>
      <c r="N37" s="173"/>
      <c r="O37" s="336"/>
      <c r="P37" s="3"/>
    </row>
    <row r="38" spans="1:16" ht="19.5" customHeight="1" thickBot="1" x14ac:dyDescent="0.25">
      <c r="A38" s="307"/>
      <c r="B38" s="259">
        <v>2026</v>
      </c>
      <c r="C38" s="174">
        <v>3</v>
      </c>
      <c r="D38" s="175">
        <v>804</v>
      </c>
      <c r="E38" s="176">
        <v>46126</v>
      </c>
      <c r="F38" s="286">
        <v>4.5</v>
      </c>
      <c r="G38" s="177">
        <v>127</v>
      </c>
      <c r="H38" s="178">
        <v>3</v>
      </c>
      <c r="I38" s="179" t="s">
        <v>28</v>
      </c>
      <c r="J38" s="179">
        <v>1</v>
      </c>
      <c r="K38" s="179" t="s">
        <v>29</v>
      </c>
      <c r="L38" s="180">
        <v>14</v>
      </c>
      <c r="M38" s="181">
        <v>14</v>
      </c>
      <c r="N38" s="182">
        <v>14</v>
      </c>
      <c r="O38" s="336"/>
      <c r="P38" s="3"/>
    </row>
    <row r="39" spans="1:16" ht="19.5" customHeight="1" x14ac:dyDescent="0.2">
      <c r="A39" s="307"/>
      <c r="B39" s="256">
        <v>2026</v>
      </c>
      <c r="C39" s="183">
        <v>3</v>
      </c>
      <c r="D39" s="184">
        <v>703</v>
      </c>
      <c r="E39" s="185"/>
      <c r="F39" s="287"/>
      <c r="G39" s="186"/>
      <c r="H39" s="187"/>
      <c r="I39" s="188"/>
      <c r="J39" s="189"/>
      <c r="K39" s="189"/>
      <c r="L39" s="190"/>
      <c r="M39" s="191"/>
      <c r="N39" s="192"/>
      <c r="O39" s="340" t="s">
        <v>7</v>
      </c>
      <c r="P39" s="3"/>
    </row>
    <row r="40" spans="1:16" ht="19.5" customHeight="1" x14ac:dyDescent="0.2">
      <c r="A40" s="307"/>
      <c r="B40" s="254">
        <v>2026</v>
      </c>
      <c r="C40" s="193">
        <v>3</v>
      </c>
      <c r="D40" s="194">
        <v>704</v>
      </c>
      <c r="E40" s="195"/>
      <c r="F40" s="288"/>
      <c r="G40" s="196"/>
      <c r="H40" s="188"/>
      <c r="I40" s="188"/>
      <c r="J40" s="197"/>
      <c r="K40" s="197"/>
      <c r="L40" s="198"/>
      <c r="M40" s="199"/>
      <c r="N40" s="200"/>
      <c r="O40" s="341"/>
      <c r="P40" s="3"/>
    </row>
    <row r="41" spans="1:16" ht="19.5" customHeight="1" x14ac:dyDescent="0.2">
      <c r="A41" s="307"/>
      <c r="B41" s="254">
        <v>2026</v>
      </c>
      <c r="C41" s="193">
        <v>3</v>
      </c>
      <c r="D41" s="194">
        <v>705</v>
      </c>
      <c r="E41" s="195">
        <v>46126</v>
      </c>
      <c r="F41" s="288">
        <v>3.5</v>
      </c>
      <c r="G41" s="196">
        <v>137</v>
      </c>
      <c r="H41" s="188">
        <v>3</v>
      </c>
      <c r="I41" s="188" t="s">
        <v>30</v>
      </c>
      <c r="J41" s="197"/>
      <c r="K41" s="197" t="s">
        <v>29</v>
      </c>
      <c r="L41" s="198"/>
      <c r="M41" s="199"/>
      <c r="N41" s="200"/>
      <c r="O41" s="341"/>
      <c r="P41" s="3"/>
    </row>
    <row r="42" spans="1:16" ht="19.5" customHeight="1" x14ac:dyDescent="0.2">
      <c r="A42" s="307"/>
      <c r="B42" s="254">
        <v>2026</v>
      </c>
      <c r="C42" s="193">
        <v>3</v>
      </c>
      <c r="D42" s="194">
        <v>706</v>
      </c>
      <c r="E42" s="195"/>
      <c r="F42" s="288"/>
      <c r="G42" s="196"/>
      <c r="H42" s="188"/>
      <c r="I42" s="188"/>
      <c r="J42" s="197"/>
      <c r="K42" s="197"/>
      <c r="L42" s="198"/>
      <c r="M42" s="199"/>
      <c r="N42" s="200"/>
      <c r="O42" s="341"/>
      <c r="P42" s="3"/>
    </row>
    <row r="43" spans="1:16" ht="19.5" customHeight="1" x14ac:dyDescent="0.2">
      <c r="A43" s="307"/>
      <c r="B43" s="254">
        <v>2026</v>
      </c>
      <c r="C43" s="193">
        <v>3</v>
      </c>
      <c r="D43" s="194">
        <v>707</v>
      </c>
      <c r="E43" s="195">
        <v>46126</v>
      </c>
      <c r="F43" s="288">
        <v>6</v>
      </c>
      <c r="G43" s="196">
        <v>89</v>
      </c>
      <c r="H43" s="188">
        <v>3</v>
      </c>
      <c r="I43" s="188" t="s">
        <v>30</v>
      </c>
      <c r="J43" s="197"/>
      <c r="K43" s="197" t="s">
        <v>29</v>
      </c>
      <c r="L43" s="198"/>
      <c r="M43" s="199"/>
      <c r="N43" s="200"/>
      <c r="O43" s="341"/>
      <c r="P43" s="3"/>
    </row>
    <row r="44" spans="1:16" ht="19.5" customHeight="1" x14ac:dyDescent="0.2">
      <c r="A44" s="307"/>
      <c r="B44" s="254">
        <v>2026</v>
      </c>
      <c r="C44" s="193">
        <v>3</v>
      </c>
      <c r="D44" s="194">
        <v>711</v>
      </c>
      <c r="E44" s="195"/>
      <c r="F44" s="288"/>
      <c r="G44" s="196"/>
      <c r="H44" s="188"/>
      <c r="I44" s="188"/>
      <c r="J44" s="197"/>
      <c r="K44" s="197"/>
      <c r="L44" s="198"/>
      <c r="M44" s="199"/>
      <c r="N44" s="200"/>
      <c r="O44" s="341"/>
      <c r="P44" s="3"/>
    </row>
    <row r="45" spans="1:16" ht="19.5" customHeight="1" x14ac:dyDescent="0.2">
      <c r="A45" s="307"/>
      <c r="B45" s="201">
        <v>2026</v>
      </c>
      <c r="C45" s="201">
        <v>3</v>
      </c>
      <c r="D45" s="202">
        <v>716</v>
      </c>
      <c r="E45" s="203"/>
      <c r="F45" s="289"/>
      <c r="G45" s="204"/>
      <c r="H45" s="205"/>
      <c r="I45" s="206"/>
      <c r="J45" s="204"/>
      <c r="K45" s="204"/>
      <c r="L45" s="207"/>
      <c r="M45" s="208"/>
      <c r="N45" s="209"/>
      <c r="O45" s="341"/>
      <c r="P45" s="3"/>
    </row>
    <row r="46" spans="1:16" ht="19.5" customHeight="1" x14ac:dyDescent="0.2">
      <c r="A46" s="307"/>
      <c r="B46" s="254">
        <v>2026</v>
      </c>
      <c r="C46" s="193">
        <v>3</v>
      </c>
      <c r="D46" s="194">
        <v>718</v>
      </c>
      <c r="E46" s="195"/>
      <c r="F46" s="288"/>
      <c r="G46" s="196"/>
      <c r="H46" s="188"/>
      <c r="I46" s="188"/>
      <c r="J46" s="196"/>
      <c r="K46" s="197"/>
      <c r="L46" s="210"/>
      <c r="M46" s="211"/>
      <c r="N46" s="212"/>
      <c r="O46" s="341"/>
      <c r="P46" s="3"/>
    </row>
    <row r="47" spans="1:16" ht="19.5" customHeight="1" x14ac:dyDescent="0.2">
      <c r="A47" s="307"/>
      <c r="B47" s="254">
        <v>2026</v>
      </c>
      <c r="C47" s="193">
        <v>3</v>
      </c>
      <c r="D47" s="194">
        <v>719</v>
      </c>
      <c r="E47" s="195">
        <v>46127</v>
      </c>
      <c r="F47" s="288">
        <v>27.4</v>
      </c>
      <c r="G47" s="196">
        <v>23</v>
      </c>
      <c r="H47" s="188">
        <v>3</v>
      </c>
      <c r="I47" s="188"/>
      <c r="J47" s="197"/>
      <c r="K47" s="197"/>
      <c r="L47" s="198"/>
      <c r="M47" s="199"/>
      <c r="N47" s="200"/>
      <c r="O47" s="341"/>
      <c r="P47" s="3"/>
    </row>
    <row r="48" spans="1:16" ht="19.5" customHeight="1" x14ac:dyDescent="0.2">
      <c r="A48" s="307"/>
      <c r="B48" s="254">
        <v>2026</v>
      </c>
      <c r="C48" s="193">
        <v>3</v>
      </c>
      <c r="D48" s="194">
        <v>720</v>
      </c>
      <c r="E48" s="195"/>
      <c r="F48" s="288"/>
      <c r="G48" s="196"/>
      <c r="H48" s="188"/>
      <c r="I48" s="188"/>
      <c r="J48" s="197"/>
      <c r="K48" s="197"/>
      <c r="L48" s="198"/>
      <c r="M48" s="199"/>
      <c r="N48" s="200"/>
      <c r="O48" s="341"/>
      <c r="P48" s="3"/>
    </row>
    <row r="49" spans="1:16" ht="19.5" customHeight="1" x14ac:dyDescent="0.2">
      <c r="A49" s="307" t="s">
        <v>34</v>
      </c>
      <c r="B49" s="254">
        <v>2026</v>
      </c>
      <c r="C49" s="193">
        <v>3</v>
      </c>
      <c r="D49" s="194">
        <v>723</v>
      </c>
      <c r="E49" s="195"/>
      <c r="F49" s="288"/>
      <c r="G49" s="196"/>
      <c r="H49" s="188"/>
      <c r="I49" s="188"/>
      <c r="J49" s="196"/>
      <c r="K49" s="197"/>
      <c r="L49" s="210"/>
      <c r="M49" s="211"/>
      <c r="N49" s="212"/>
      <c r="O49" s="341"/>
      <c r="P49" s="3"/>
    </row>
    <row r="50" spans="1:16" ht="19.5" customHeight="1" x14ac:dyDescent="0.2">
      <c r="A50" s="307"/>
      <c r="B50" s="254">
        <v>2026</v>
      </c>
      <c r="C50" s="193">
        <v>3</v>
      </c>
      <c r="D50" s="194">
        <v>724</v>
      </c>
      <c r="E50" s="195">
        <v>46127</v>
      </c>
      <c r="F50" s="288">
        <v>13.1</v>
      </c>
      <c r="G50" s="196">
        <v>63</v>
      </c>
      <c r="H50" s="188">
        <v>3</v>
      </c>
      <c r="I50" s="188" t="s">
        <v>30</v>
      </c>
      <c r="J50" s="197"/>
      <c r="K50" s="197" t="s">
        <v>29</v>
      </c>
      <c r="L50" s="198"/>
      <c r="M50" s="199"/>
      <c r="N50" s="200"/>
      <c r="O50" s="341"/>
      <c r="P50" s="3"/>
    </row>
    <row r="51" spans="1:16" ht="19.5" customHeight="1" thickBot="1" x14ac:dyDescent="0.25">
      <c r="A51" s="307"/>
      <c r="B51" s="255">
        <v>2026</v>
      </c>
      <c r="C51" s="251">
        <v>3</v>
      </c>
      <c r="D51" s="213">
        <v>726</v>
      </c>
      <c r="E51" s="214">
        <v>46127</v>
      </c>
      <c r="F51" s="290">
        <v>12.4</v>
      </c>
      <c r="G51" s="215">
        <v>68</v>
      </c>
      <c r="H51" s="216">
        <v>3</v>
      </c>
      <c r="I51" s="188" t="s">
        <v>30</v>
      </c>
      <c r="J51" s="217"/>
      <c r="K51" s="217" t="s">
        <v>29</v>
      </c>
      <c r="L51" s="218"/>
      <c r="M51" s="219"/>
      <c r="N51" s="220"/>
      <c r="O51" s="342"/>
      <c r="P51" s="3"/>
    </row>
    <row r="52" spans="1:16" ht="19.5" customHeight="1" thickBot="1" x14ac:dyDescent="0.25">
      <c r="A52" s="307"/>
      <c r="B52" s="252">
        <v>2026</v>
      </c>
      <c r="C52" s="28">
        <v>3</v>
      </c>
      <c r="D52" s="29">
        <v>809</v>
      </c>
      <c r="E52" s="26">
        <v>46125</v>
      </c>
      <c r="F52" s="291">
        <v>5.8</v>
      </c>
      <c r="G52" s="27">
        <v>119</v>
      </c>
      <c r="H52" s="28">
        <v>3</v>
      </c>
      <c r="I52" s="29" t="s">
        <v>28</v>
      </c>
      <c r="J52" s="30">
        <v>4</v>
      </c>
      <c r="K52" s="30" t="s">
        <v>29</v>
      </c>
      <c r="L52" s="31">
        <v>12</v>
      </c>
      <c r="M52" s="32">
        <v>15</v>
      </c>
      <c r="N52" s="33">
        <v>13.7</v>
      </c>
      <c r="O52" s="337" t="s">
        <v>8</v>
      </c>
      <c r="P52" s="3"/>
    </row>
    <row r="53" spans="1:16" ht="19.5" customHeight="1" thickBot="1" x14ac:dyDescent="0.25">
      <c r="A53" s="307"/>
      <c r="B53" s="250">
        <v>2026</v>
      </c>
      <c r="C53" s="36">
        <v>3</v>
      </c>
      <c r="D53" s="37">
        <v>812</v>
      </c>
      <c r="E53" s="34">
        <v>46125</v>
      </c>
      <c r="F53" s="325">
        <v>3.7</v>
      </c>
      <c r="G53" s="35">
        <v>154</v>
      </c>
      <c r="H53" s="36">
        <v>3</v>
      </c>
      <c r="I53" s="37" t="s">
        <v>30</v>
      </c>
      <c r="J53" s="38"/>
      <c r="K53" s="38" t="s">
        <v>29</v>
      </c>
      <c r="L53" s="39"/>
      <c r="M53" s="40"/>
      <c r="N53" s="41"/>
      <c r="O53" s="337"/>
      <c r="P53" s="3"/>
    </row>
    <row r="54" spans="1:16" ht="19.5" customHeight="1" thickBot="1" x14ac:dyDescent="0.25">
      <c r="A54" s="307"/>
      <c r="B54" s="249">
        <v>2026</v>
      </c>
      <c r="C54" s="44">
        <v>3</v>
      </c>
      <c r="D54" s="58">
        <v>815</v>
      </c>
      <c r="E54" s="42">
        <v>46125</v>
      </c>
      <c r="F54" s="293">
        <v>3.4</v>
      </c>
      <c r="G54" s="43">
        <v>132</v>
      </c>
      <c r="H54" s="44">
        <v>3</v>
      </c>
      <c r="I54" s="45" t="s">
        <v>30</v>
      </c>
      <c r="J54" s="46"/>
      <c r="K54" s="46" t="s">
        <v>29</v>
      </c>
      <c r="L54" s="47"/>
      <c r="M54" s="48"/>
      <c r="N54" s="49"/>
      <c r="O54" s="337"/>
      <c r="P54" s="3"/>
    </row>
    <row r="55" spans="1:16" ht="19.5" customHeight="1" thickBot="1" x14ac:dyDescent="0.25">
      <c r="A55" s="307"/>
      <c r="B55" s="249">
        <v>2026</v>
      </c>
      <c r="C55" s="44">
        <v>3</v>
      </c>
      <c r="D55" s="58" t="s">
        <v>43</v>
      </c>
      <c r="E55" s="50">
        <v>46126</v>
      </c>
      <c r="F55" s="294">
        <v>3.2</v>
      </c>
      <c r="G55" s="43">
        <v>168</v>
      </c>
      <c r="H55" s="44">
        <v>2</v>
      </c>
      <c r="I55" s="45" t="s">
        <v>30</v>
      </c>
      <c r="J55" s="46"/>
      <c r="K55" s="46" t="s">
        <v>29</v>
      </c>
      <c r="L55" s="47"/>
      <c r="M55" s="48"/>
      <c r="N55" s="49"/>
      <c r="O55" s="337"/>
      <c r="P55" s="3"/>
    </row>
    <row r="56" spans="1:16" ht="19.5" customHeight="1" thickBot="1" x14ac:dyDescent="0.25">
      <c r="A56" s="307"/>
      <c r="B56" s="249">
        <v>2026</v>
      </c>
      <c r="C56" s="44">
        <v>3</v>
      </c>
      <c r="D56" s="58">
        <v>902</v>
      </c>
      <c r="E56" s="50">
        <v>46126</v>
      </c>
      <c r="F56" s="294">
        <v>1.7</v>
      </c>
      <c r="G56" s="43">
        <v>198</v>
      </c>
      <c r="H56" s="44">
        <v>3</v>
      </c>
      <c r="I56" s="45" t="s">
        <v>30</v>
      </c>
      <c r="J56" s="46"/>
      <c r="K56" s="46" t="s">
        <v>29</v>
      </c>
      <c r="L56" s="47"/>
      <c r="M56" s="48"/>
      <c r="N56" s="49"/>
      <c r="O56" s="337"/>
      <c r="P56" s="3"/>
    </row>
    <row r="57" spans="1:16" ht="19.5" customHeight="1" thickBot="1" x14ac:dyDescent="0.25">
      <c r="A57" s="307"/>
      <c r="B57" s="249">
        <v>2026</v>
      </c>
      <c r="C57" s="44">
        <v>3</v>
      </c>
      <c r="D57" s="58">
        <v>906</v>
      </c>
      <c r="E57" s="50">
        <v>46125</v>
      </c>
      <c r="F57" s="294">
        <v>3.1</v>
      </c>
      <c r="G57" s="43">
        <v>187</v>
      </c>
      <c r="H57" s="44">
        <v>3</v>
      </c>
      <c r="I57" s="45" t="s">
        <v>30</v>
      </c>
      <c r="J57" s="46"/>
      <c r="K57" s="46" t="s">
        <v>29</v>
      </c>
      <c r="L57" s="47"/>
      <c r="M57" s="48"/>
      <c r="N57" s="49"/>
      <c r="O57" s="337"/>
      <c r="P57" s="3"/>
    </row>
    <row r="58" spans="1:16" ht="19.5" customHeight="1" thickBot="1" x14ac:dyDescent="0.25">
      <c r="A58" s="307"/>
      <c r="B58" s="249">
        <v>2026</v>
      </c>
      <c r="C58" s="44">
        <v>3</v>
      </c>
      <c r="D58" s="58">
        <v>910</v>
      </c>
      <c r="E58" s="50">
        <v>46125</v>
      </c>
      <c r="F58" s="294">
        <v>4.0999999999999996</v>
      </c>
      <c r="G58" s="43">
        <v>104</v>
      </c>
      <c r="H58" s="44">
        <v>3</v>
      </c>
      <c r="I58" s="45" t="s">
        <v>30</v>
      </c>
      <c r="J58" s="46"/>
      <c r="K58" s="46" t="s">
        <v>29</v>
      </c>
      <c r="L58" s="47"/>
      <c r="M58" s="48"/>
      <c r="N58" s="49"/>
      <c r="O58" s="337"/>
      <c r="P58" s="3"/>
    </row>
    <row r="59" spans="1:16" ht="19.5" customHeight="1" thickBot="1" x14ac:dyDescent="0.25">
      <c r="A59" s="319"/>
      <c r="B59" s="249">
        <v>2026</v>
      </c>
      <c r="C59" s="44">
        <v>3</v>
      </c>
      <c r="D59" s="58">
        <v>912</v>
      </c>
      <c r="E59" s="50">
        <v>46126</v>
      </c>
      <c r="F59" s="294">
        <v>5</v>
      </c>
      <c r="G59" s="43">
        <v>108</v>
      </c>
      <c r="H59" s="44">
        <v>3</v>
      </c>
      <c r="I59" s="45" t="s">
        <v>30</v>
      </c>
      <c r="J59" s="46"/>
      <c r="K59" s="46" t="s">
        <v>29</v>
      </c>
      <c r="L59" s="47"/>
      <c r="M59" s="48"/>
      <c r="N59" s="49"/>
      <c r="O59" s="337"/>
      <c r="P59" s="3"/>
    </row>
    <row r="60" spans="1:16" ht="19.5" customHeight="1" thickBot="1" x14ac:dyDescent="0.25">
      <c r="A60" s="320"/>
      <c r="B60" s="249">
        <v>2026</v>
      </c>
      <c r="C60" s="44">
        <v>3</v>
      </c>
      <c r="D60" s="58">
        <v>914</v>
      </c>
      <c r="E60" s="50">
        <v>46126</v>
      </c>
      <c r="F60" s="294">
        <v>1.5</v>
      </c>
      <c r="G60" s="43">
        <v>200</v>
      </c>
      <c r="H60" s="44">
        <v>3</v>
      </c>
      <c r="I60" s="45" t="s">
        <v>30</v>
      </c>
      <c r="J60" s="46"/>
      <c r="K60" s="46" t="s">
        <v>29</v>
      </c>
      <c r="L60" s="47"/>
      <c r="M60" s="48"/>
      <c r="N60" s="49"/>
      <c r="O60" s="337"/>
      <c r="P60" s="3"/>
    </row>
    <row r="61" spans="1:16" ht="19.5" customHeight="1" thickBot="1" x14ac:dyDescent="0.25">
      <c r="A61" s="321"/>
      <c r="B61" s="249">
        <v>2026</v>
      </c>
      <c r="C61" s="44">
        <v>3</v>
      </c>
      <c r="D61" s="58">
        <v>915</v>
      </c>
      <c r="E61" s="50">
        <v>46126</v>
      </c>
      <c r="F61" s="294">
        <v>1.9</v>
      </c>
      <c r="G61" s="43">
        <v>200</v>
      </c>
      <c r="H61" s="44">
        <v>3</v>
      </c>
      <c r="I61" s="45" t="s">
        <v>30</v>
      </c>
      <c r="J61" s="46"/>
      <c r="K61" s="46" t="s">
        <v>29</v>
      </c>
      <c r="L61" s="47"/>
      <c r="M61" s="48"/>
      <c r="N61" s="49"/>
      <c r="O61" s="337"/>
      <c r="P61" s="3"/>
    </row>
    <row r="62" spans="1:16" ht="19.5" customHeight="1" thickBot="1" x14ac:dyDescent="0.25">
      <c r="A62" s="226"/>
      <c r="B62" s="260">
        <v>2026</v>
      </c>
      <c r="C62" s="261">
        <v>3</v>
      </c>
      <c r="D62" s="262">
        <v>918</v>
      </c>
      <c r="E62" s="263"/>
      <c r="F62" s="295"/>
      <c r="G62" s="264"/>
      <c r="H62" s="261"/>
      <c r="I62" s="265" t="s">
        <v>31</v>
      </c>
      <c r="J62" s="266"/>
      <c r="K62" s="266"/>
      <c r="L62" s="267"/>
      <c r="M62" s="268"/>
      <c r="N62" s="269"/>
      <c r="O62" s="337"/>
      <c r="P62" s="3"/>
    </row>
    <row r="63" spans="1:16" ht="19.5" customHeight="1" thickBot="1" x14ac:dyDescent="0.25">
      <c r="A63" s="224"/>
      <c r="B63" s="253">
        <v>2026</v>
      </c>
      <c r="C63" s="53">
        <v>3</v>
      </c>
      <c r="D63" s="59">
        <v>919</v>
      </c>
      <c r="E63" s="51">
        <v>46125</v>
      </c>
      <c r="F63" s="296">
        <v>3.7</v>
      </c>
      <c r="G63" s="52">
        <v>141</v>
      </c>
      <c r="H63" s="53">
        <v>3</v>
      </c>
      <c r="I63" s="45" t="s">
        <v>28</v>
      </c>
      <c r="J63" s="54">
        <v>2</v>
      </c>
      <c r="K63" s="54" t="s">
        <v>29</v>
      </c>
      <c r="L63" s="55">
        <v>16</v>
      </c>
      <c r="M63" s="56">
        <v>16</v>
      </c>
      <c r="N63" s="57">
        <v>16</v>
      </c>
      <c r="O63" s="337"/>
      <c r="P63" s="6"/>
    </row>
    <row r="64" spans="1:16" ht="19.5" customHeight="1" x14ac:dyDescent="0.2">
      <c r="A64" s="224"/>
      <c r="B64" s="221" t="s">
        <v>36</v>
      </c>
      <c r="C64" s="222"/>
      <c r="D64" s="222"/>
      <c r="E64" s="222"/>
      <c r="F64" s="222"/>
      <c r="G64" s="222"/>
      <c r="H64" s="222"/>
      <c r="I64" s="223"/>
      <c r="J64" s="222"/>
      <c r="K64" s="222"/>
      <c r="L64" s="222"/>
      <c r="M64" s="222"/>
      <c r="N64" s="322"/>
      <c r="O64" s="25"/>
      <c r="P64" s="5"/>
    </row>
    <row r="65" spans="1:16" ht="19.5" customHeight="1" x14ac:dyDescent="0.2">
      <c r="A65" s="224"/>
      <c r="B65" s="221" t="s">
        <v>37</v>
      </c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323"/>
      <c r="O65" s="329"/>
      <c r="P65" s="11"/>
    </row>
    <row r="66" spans="1:16" ht="19.5" customHeight="1" x14ac:dyDescent="0.2">
      <c r="A66" s="224"/>
      <c r="B66" s="221" t="s">
        <v>38</v>
      </c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323"/>
      <c r="O66" s="25"/>
      <c r="P66" s="17"/>
    </row>
    <row r="67" spans="1:16" ht="15" customHeight="1" x14ac:dyDescent="0.2">
      <c r="A67" s="224"/>
      <c r="B67" s="227" t="s">
        <v>39</v>
      </c>
      <c r="C67" s="24"/>
      <c r="D67" s="24"/>
      <c r="E67" s="224"/>
      <c r="F67" s="224"/>
      <c r="G67" s="224"/>
      <c r="H67" s="224"/>
      <c r="I67" s="24"/>
      <c r="J67" s="24"/>
      <c r="K67" s="24"/>
      <c r="L67" s="24"/>
      <c r="M67" s="24"/>
      <c r="N67" s="24"/>
      <c r="O67" s="330"/>
      <c r="P67" s="8"/>
    </row>
    <row r="68" spans="1:16" ht="15" customHeight="1" x14ac:dyDescent="0.2">
      <c r="A68" s="14"/>
      <c r="B68" s="14"/>
      <c r="C68" s="14"/>
      <c r="D68" s="14"/>
      <c r="E68" s="14"/>
      <c r="F68" s="24"/>
      <c r="I68" s="4"/>
      <c r="N68" s="4"/>
      <c r="O68" s="4"/>
    </row>
    <row r="69" spans="1:16" ht="15" customHeight="1" x14ac:dyDescent="0.2">
      <c r="F69" s="224"/>
      <c r="G69" s="14"/>
      <c r="I69" s="4"/>
      <c r="N69" s="4"/>
      <c r="O69" s="4"/>
    </row>
    <row r="70" spans="1:16" ht="15" customHeight="1" x14ac:dyDescent="0.2">
      <c r="F70" s="226"/>
      <c r="G70" s="14"/>
      <c r="I70" s="4"/>
      <c r="N70" s="4"/>
      <c r="O70" s="4"/>
    </row>
    <row r="71" spans="1:16" ht="15" customHeight="1" x14ac:dyDescent="0.2">
      <c r="I71" s="10" t="s">
        <v>13</v>
      </c>
      <c r="J71" s="4">
        <v>179</v>
      </c>
      <c r="P71" s="14"/>
    </row>
    <row r="72" spans="1:16" ht="15" customHeight="1" x14ac:dyDescent="0.2">
      <c r="I72" s="10" t="s">
        <v>14</v>
      </c>
      <c r="J72" s="4">
        <f>SUM(H3:H63)</f>
        <v>50</v>
      </c>
      <c r="P72" s="14"/>
    </row>
    <row r="73" spans="1:16" ht="15" customHeight="1" x14ac:dyDescent="0.2">
      <c r="I73" s="10" t="s">
        <v>15</v>
      </c>
      <c r="J73" s="13">
        <f>J72/J71</f>
        <v>0.27932960893854747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K75" s="226"/>
      <c r="N75" s="4"/>
      <c r="O75" s="4"/>
    </row>
    <row r="76" spans="1:16" x14ac:dyDescent="0.2">
      <c r="I76" s="248" t="s">
        <v>18</v>
      </c>
      <c r="J76" s="18">
        <f>SUM(J16:J21)</f>
        <v>0</v>
      </c>
      <c r="K76" s="226"/>
      <c r="N76" s="4"/>
      <c r="O76" s="4"/>
    </row>
    <row r="77" spans="1:16" x14ac:dyDescent="0.2">
      <c r="I77" s="248" t="s">
        <v>21</v>
      </c>
      <c r="J77" s="18">
        <f>SUM(J22:J24)</f>
        <v>0</v>
      </c>
      <c r="K77" s="226"/>
      <c r="N77" s="4"/>
      <c r="O77" s="4"/>
    </row>
    <row r="78" spans="1:16" x14ac:dyDescent="0.2">
      <c r="I78" s="248" t="s">
        <v>22</v>
      </c>
      <c r="J78" s="18">
        <f>SUM(J25:J33)</f>
        <v>0</v>
      </c>
      <c r="K78" s="226"/>
      <c r="N78" s="4"/>
      <c r="O78" s="4"/>
    </row>
    <row r="79" spans="1:16" x14ac:dyDescent="0.2">
      <c r="I79" s="248" t="s">
        <v>6</v>
      </c>
      <c r="J79" s="18">
        <f>SUM(J34:J38)</f>
        <v>1</v>
      </c>
      <c r="K79" s="226"/>
      <c r="N79" s="4"/>
      <c r="O79" s="4"/>
    </row>
    <row r="80" spans="1:16" x14ac:dyDescent="0.2">
      <c r="I80" s="248" t="s">
        <v>23</v>
      </c>
      <c r="J80" s="18">
        <f>SUM(J39:J51)</f>
        <v>0</v>
      </c>
      <c r="K80" s="226"/>
      <c r="N80" s="4"/>
      <c r="O80" s="4"/>
    </row>
    <row r="81" spans="9:15" x14ac:dyDescent="0.2">
      <c r="I81" s="248" t="s">
        <v>27</v>
      </c>
      <c r="J81" s="18">
        <f>SUM(J52:J53)</f>
        <v>4</v>
      </c>
      <c r="K81" s="226"/>
      <c r="N81" s="4"/>
      <c r="O81" s="4"/>
    </row>
    <row r="82" spans="9:15" x14ac:dyDescent="0.2">
      <c r="I82" s="248" t="s">
        <v>24</v>
      </c>
      <c r="J82" s="18">
        <f>SUM(J54:J63)</f>
        <v>2</v>
      </c>
      <c r="K82" s="226"/>
      <c r="N82" s="4"/>
      <c r="O82" s="4"/>
    </row>
    <row r="83" spans="9:15" x14ac:dyDescent="0.2">
      <c r="J83" s="18">
        <f>SUM(J75:J82)</f>
        <v>7</v>
      </c>
      <c r="K83" s="226"/>
      <c r="N83" s="4"/>
      <c r="O83" s="4"/>
    </row>
    <row r="87" spans="9:15" ht="12.75" x14ac:dyDescent="0.2">
      <c r="I87" s="4"/>
      <c r="N87" s="4"/>
      <c r="O87" s="4"/>
    </row>
    <row r="88" spans="9:15" ht="12.75" x14ac:dyDescent="0.2">
      <c r="I88" s="4"/>
      <c r="N88" s="4"/>
      <c r="O88" s="4"/>
    </row>
    <row r="89" spans="9:15" ht="12.75" x14ac:dyDescent="0.2">
      <c r="I89" s="4"/>
      <c r="N89" s="4"/>
      <c r="O89" s="4"/>
    </row>
    <row r="90" spans="9:15" ht="12.75" x14ac:dyDescent="0.2">
      <c r="I90" s="4"/>
      <c r="N90" s="4"/>
      <c r="O90" s="4"/>
    </row>
    <row r="91" spans="9:15" ht="12.75" x14ac:dyDescent="0.2">
      <c r="I91" s="4"/>
      <c r="N91" s="4"/>
      <c r="O91" s="4"/>
    </row>
    <row r="92" spans="9:15" ht="12.75" x14ac:dyDescent="0.2">
      <c r="I92" s="4"/>
      <c r="N92" s="4"/>
      <c r="O92" s="4"/>
    </row>
    <row r="93" spans="9:15" ht="12.75" x14ac:dyDescent="0.2">
      <c r="I93" s="4"/>
      <c r="N93" s="4"/>
      <c r="O93" s="4"/>
    </row>
    <row r="94" spans="9:15" ht="12.75" x14ac:dyDescent="0.2">
      <c r="I94" s="4"/>
      <c r="N94" s="4"/>
      <c r="O94" s="4"/>
    </row>
    <row r="95" spans="9:15" ht="12.75" x14ac:dyDescent="0.2">
      <c r="I95" s="4"/>
      <c r="N95" s="4"/>
      <c r="O95" s="4"/>
    </row>
    <row r="96" spans="9:15" ht="12.75" x14ac:dyDescent="0.2">
      <c r="I96" s="4"/>
      <c r="N96" s="4"/>
      <c r="O96" s="4"/>
    </row>
    <row r="97" s="4" customFormat="1" ht="12.75" x14ac:dyDescent="0.2"/>
    <row r="98" s="4" customFormat="1" ht="12.75" x14ac:dyDescent="0.2"/>
    <row r="99" s="4" customFormat="1" ht="12.75" x14ac:dyDescent="0.2"/>
    <row r="100" s="4" customFormat="1" ht="12.75" x14ac:dyDescent="0.2"/>
    <row r="101" s="4" customFormat="1" ht="12.75" x14ac:dyDescent="0.2"/>
    <row r="102" s="4" customFormat="1" ht="12.75" x14ac:dyDescent="0.2"/>
    <row r="103" s="4" customFormat="1" ht="12.75" x14ac:dyDescent="0.2"/>
    <row r="104" s="4" customFormat="1" ht="12.75" x14ac:dyDescent="0.2"/>
    <row r="105" s="4" customFormat="1" ht="12.75" x14ac:dyDescent="0.2"/>
    <row r="106" s="4" customFormat="1" ht="12.75" x14ac:dyDescent="0.2"/>
    <row r="107" s="4" customFormat="1" ht="12.75" x14ac:dyDescent="0.2"/>
    <row r="108" s="4" customFormat="1" ht="12.75" x14ac:dyDescent="0.2"/>
    <row r="109" s="4" customFormat="1" ht="12.75" x14ac:dyDescent="0.2"/>
    <row r="110" s="4" customFormat="1" ht="12.75" x14ac:dyDescent="0.2"/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K3:K63" xr:uid="{18FC3EC0-9B48-4A84-B9D4-D1252894F552}">
      <formula1>"Preliminary, Complete"</formula1>
    </dataValidation>
    <dataValidation type="list" allowBlank="1" showInputMessage="1" showErrorMessage="1" sqref="I3:I63" xr:uid="{6A04F154-44F3-44EF-86CF-E457E6CE2818}">
      <formula1>"Not Processed, No Smelt Catch, Not Sampled, Longfin Smelt, Delta Smelt"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70E8-6AF1-4DCD-8803-E0FCDAEF4A67}">
  <dimension ref="A1:P84"/>
  <sheetViews>
    <sheetView topLeftCell="A46" workbookViewId="0">
      <selection activeCell="B67" sqref="B67"/>
    </sheetView>
  </sheetViews>
  <sheetFormatPr defaultColWidth="9.140625" defaultRowHeight="12.75" x14ac:dyDescent="0.2"/>
  <cols>
    <col min="1" max="1" width="9.140625" style="4"/>
    <col min="2" max="2" width="5.85546875" style="4" customWidth="1"/>
    <col min="3" max="4" width="8.140625" style="4" customWidth="1"/>
    <col min="5" max="5" width="8.5703125" style="4" customWidth="1"/>
    <col min="6" max="6" width="9.85546875" style="4" customWidth="1"/>
    <col min="7" max="7" width="8.85546875" style="4" customWidth="1"/>
    <col min="8" max="8" width="11.85546875" style="4" customWidth="1"/>
    <col min="9" max="9" width="16" style="10" customWidth="1"/>
    <col min="10" max="10" width="7" style="4" customWidth="1"/>
    <col min="11" max="11" width="17" style="4" customWidth="1"/>
    <col min="12" max="12" width="8" style="4" customWidth="1"/>
    <col min="13" max="13" width="7.85546875" style="4" customWidth="1"/>
    <col min="14" max="14" width="8.140625" style="23" customWidth="1"/>
    <col min="15" max="15" width="7.7109375" style="4" customWidth="1"/>
    <col min="16" max="16" width="9.140625" style="4"/>
    <col min="17" max="17" width="16.42578125" style="4" customWidth="1"/>
    <col min="18" max="18" width="18.85546875" style="4" customWidth="1"/>
    <col min="19" max="22" width="9.140625" style="4"/>
    <col min="23" max="23" width="19" style="4" customWidth="1"/>
    <col min="24" max="24" width="9.140625" style="4"/>
    <col min="25" max="25" width="9.7109375" style="4" bestFit="1" customWidth="1"/>
    <col min="26" max="16384" width="9.140625" style="4"/>
  </cols>
  <sheetData>
    <row r="1" spans="1:16" ht="13.5" thickBot="1" x14ac:dyDescent="0.25">
      <c r="A1" s="1"/>
      <c r="B1" s="2"/>
      <c r="C1" s="2"/>
      <c r="D1" s="2"/>
      <c r="E1" s="2"/>
      <c r="F1" s="2"/>
      <c r="G1" s="2"/>
      <c r="H1" s="2"/>
      <c r="I1" s="9"/>
      <c r="J1" s="2"/>
      <c r="K1" s="2"/>
      <c r="L1" s="2"/>
      <c r="M1" s="2"/>
      <c r="N1" s="231"/>
      <c r="O1" s="327"/>
      <c r="P1" s="3"/>
    </row>
    <row r="2" spans="1:16" s="306" customFormat="1" ht="36" customHeight="1" thickBot="1" x14ac:dyDescent="0.25">
      <c r="A2" s="302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32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232" t="s">
        <v>11</v>
      </c>
      <c r="O2" s="328"/>
      <c r="P2" s="305"/>
    </row>
    <row r="3" spans="1:16" ht="19.5" customHeight="1" thickBot="1" x14ac:dyDescent="0.25">
      <c r="A3" s="307"/>
      <c r="B3" s="61">
        <v>2026</v>
      </c>
      <c r="C3" s="61">
        <v>4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4" t="s">
        <v>25</v>
      </c>
      <c r="P3" s="3"/>
    </row>
    <row r="4" spans="1:16" ht="19.5" customHeight="1" thickBot="1" x14ac:dyDescent="0.25">
      <c r="A4" s="307"/>
      <c r="B4" s="67">
        <f>B3</f>
        <v>2026</v>
      </c>
      <c r="C4" s="68">
        <f t="shared" ref="C4:C15" si="0">C3</f>
        <v>4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4"/>
      <c r="P4" s="3"/>
    </row>
    <row r="5" spans="1:16" ht="19.5" customHeight="1" thickBot="1" x14ac:dyDescent="0.25">
      <c r="A5" s="307"/>
      <c r="B5" s="67">
        <f t="shared" ref="B5:B14" si="1">B4</f>
        <v>2026</v>
      </c>
      <c r="C5" s="68">
        <f t="shared" si="0"/>
        <v>4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4"/>
      <c r="P5" s="3"/>
    </row>
    <row r="6" spans="1:16" ht="19.5" customHeight="1" thickBot="1" x14ac:dyDescent="0.25">
      <c r="A6" s="307"/>
      <c r="B6" s="67">
        <f t="shared" si="1"/>
        <v>2026</v>
      </c>
      <c r="C6" s="68">
        <f t="shared" si="0"/>
        <v>4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4"/>
      <c r="P6" s="3"/>
    </row>
    <row r="7" spans="1:16" ht="19.5" customHeight="1" thickBot="1" x14ac:dyDescent="0.25">
      <c r="A7" s="307"/>
      <c r="B7" s="67">
        <f t="shared" si="1"/>
        <v>2026</v>
      </c>
      <c r="C7" s="68">
        <f t="shared" si="0"/>
        <v>4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4"/>
      <c r="P7" s="3"/>
    </row>
    <row r="8" spans="1:16" ht="19.5" customHeight="1" thickBot="1" x14ac:dyDescent="0.25">
      <c r="A8" s="307"/>
      <c r="B8" s="67">
        <f t="shared" si="1"/>
        <v>2026</v>
      </c>
      <c r="C8" s="68">
        <f t="shared" si="0"/>
        <v>4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4"/>
      <c r="P8" s="3"/>
    </row>
    <row r="9" spans="1:16" ht="19.5" customHeight="1" thickBot="1" x14ac:dyDescent="0.25">
      <c r="A9" s="307"/>
      <c r="B9" s="67">
        <f t="shared" si="1"/>
        <v>2026</v>
      </c>
      <c r="C9" s="68">
        <f t="shared" si="0"/>
        <v>4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4"/>
      <c r="P9" s="3"/>
    </row>
    <row r="10" spans="1:16" ht="19.5" customHeight="1" thickBot="1" x14ac:dyDescent="0.25">
      <c r="A10" s="307"/>
      <c r="B10" s="67">
        <f t="shared" si="1"/>
        <v>2026</v>
      </c>
      <c r="C10" s="68">
        <f t="shared" si="0"/>
        <v>4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4"/>
      <c r="P10" s="3"/>
    </row>
    <row r="11" spans="1:16" ht="19.5" customHeight="1" thickBot="1" x14ac:dyDescent="0.25">
      <c r="A11" s="307"/>
      <c r="B11" s="67">
        <f t="shared" si="1"/>
        <v>2026</v>
      </c>
      <c r="C11" s="68">
        <f t="shared" si="0"/>
        <v>4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4"/>
      <c r="P11" s="3"/>
    </row>
    <row r="12" spans="1:16" ht="19.5" customHeight="1" thickBot="1" x14ac:dyDescent="0.25">
      <c r="A12" s="307"/>
      <c r="B12" s="67">
        <f t="shared" si="1"/>
        <v>2026</v>
      </c>
      <c r="C12" s="68">
        <f t="shared" si="0"/>
        <v>4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4"/>
      <c r="P12" s="3"/>
    </row>
    <row r="13" spans="1:16" ht="19.5" customHeight="1" thickBot="1" x14ac:dyDescent="0.25">
      <c r="A13" s="307"/>
      <c r="B13" s="67">
        <f t="shared" si="1"/>
        <v>2026</v>
      </c>
      <c r="C13" s="68">
        <f t="shared" si="0"/>
        <v>4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4"/>
      <c r="P13" s="3"/>
    </row>
    <row r="14" spans="1:16" ht="19.5" customHeight="1" thickBot="1" x14ac:dyDescent="0.25">
      <c r="A14" s="307"/>
      <c r="B14" s="67">
        <f t="shared" si="1"/>
        <v>2026</v>
      </c>
      <c r="C14" s="68">
        <f t="shared" si="0"/>
        <v>4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4"/>
      <c r="P14" s="3"/>
    </row>
    <row r="15" spans="1:16" ht="19.5" customHeight="1" thickBot="1" x14ac:dyDescent="0.25">
      <c r="A15" s="307"/>
      <c r="B15" s="75">
        <f>B14</f>
        <v>2026</v>
      </c>
      <c r="C15" s="68">
        <f t="shared" si="0"/>
        <v>4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4"/>
      <c r="P15" s="3"/>
    </row>
    <row r="16" spans="1:16" ht="19.5" customHeight="1" thickBot="1" x14ac:dyDescent="0.25">
      <c r="A16" s="307"/>
      <c r="B16" s="81">
        <f>B15</f>
        <v>2026</v>
      </c>
      <c r="C16" s="82">
        <f>C3</f>
        <v>4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35" t="s">
        <v>18</v>
      </c>
      <c r="P16" s="3"/>
    </row>
    <row r="17" spans="1:16" ht="19.5" customHeight="1" thickBot="1" x14ac:dyDescent="0.25">
      <c r="A17" s="307"/>
      <c r="B17" s="89">
        <f>B16</f>
        <v>2026</v>
      </c>
      <c r="C17" s="89">
        <f>C3</f>
        <v>4</v>
      </c>
      <c r="D17" s="90">
        <v>342</v>
      </c>
      <c r="E17" s="91"/>
      <c r="F17" s="276"/>
      <c r="G17" s="92"/>
      <c r="H17" s="90"/>
      <c r="I17" s="90"/>
      <c r="J17" s="93"/>
      <c r="K17" s="93"/>
      <c r="L17" s="94"/>
      <c r="M17" s="95"/>
      <c r="N17" s="96"/>
      <c r="O17" s="335"/>
      <c r="P17" s="3"/>
    </row>
    <row r="18" spans="1:16" ht="19.5" customHeight="1" thickBot="1" x14ac:dyDescent="0.25">
      <c r="A18" s="307"/>
      <c r="B18" s="89">
        <f t="shared" ref="B18:B51" si="2">B17</f>
        <v>2026</v>
      </c>
      <c r="C18" s="89">
        <f>C3</f>
        <v>4</v>
      </c>
      <c r="D18" s="90">
        <v>343</v>
      </c>
      <c r="E18" s="91"/>
      <c r="F18" s="276"/>
      <c r="G18" s="92"/>
      <c r="H18" s="90"/>
      <c r="I18" s="90"/>
      <c r="J18" s="93"/>
      <c r="K18" s="93"/>
      <c r="L18" s="94"/>
      <c r="M18" s="95"/>
      <c r="N18" s="96"/>
      <c r="O18" s="335"/>
      <c r="P18" s="3"/>
    </row>
    <row r="19" spans="1:16" ht="19.5" customHeight="1" thickBot="1" x14ac:dyDescent="0.25">
      <c r="A19" s="307"/>
      <c r="B19" s="89">
        <f t="shared" si="2"/>
        <v>2026</v>
      </c>
      <c r="C19" s="89">
        <f>C4</f>
        <v>4</v>
      </c>
      <c r="D19" s="90">
        <v>344</v>
      </c>
      <c r="E19" s="91"/>
      <c r="F19" s="276"/>
      <c r="G19" s="92"/>
      <c r="H19" s="90"/>
      <c r="I19" s="90"/>
      <c r="J19" s="93"/>
      <c r="K19" s="93"/>
      <c r="L19" s="94"/>
      <c r="M19" s="95"/>
      <c r="N19" s="96"/>
      <c r="O19" s="335"/>
      <c r="P19" s="3"/>
    </row>
    <row r="20" spans="1:16" ht="19.5" customHeight="1" thickBot="1" x14ac:dyDescent="0.25">
      <c r="A20" s="307"/>
      <c r="B20" s="89">
        <f t="shared" si="2"/>
        <v>2026</v>
      </c>
      <c r="C20" s="89">
        <f>C5</f>
        <v>4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35"/>
      <c r="P20" s="3"/>
    </row>
    <row r="21" spans="1:16" ht="19.5" customHeight="1" thickBot="1" x14ac:dyDescent="0.25">
      <c r="A21" s="307"/>
      <c r="B21" s="97">
        <f t="shared" si="2"/>
        <v>2026</v>
      </c>
      <c r="C21" s="98">
        <f>C6</f>
        <v>4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35"/>
      <c r="P21" s="3"/>
    </row>
    <row r="22" spans="1:16" ht="19.5" customHeight="1" thickBot="1" x14ac:dyDescent="0.25">
      <c r="A22" s="307"/>
      <c r="B22" s="106">
        <f t="shared" si="2"/>
        <v>2026</v>
      </c>
      <c r="C22" s="107">
        <f>C3</f>
        <v>4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9" t="s">
        <v>19</v>
      </c>
      <c r="P22" s="3"/>
    </row>
    <row r="23" spans="1:16" ht="19.5" customHeight="1" thickBot="1" x14ac:dyDescent="0.25">
      <c r="A23" s="307"/>
      <c r="B23" s="106">
        <f t="shared" si="2"/>
        <v>2026</v>
      </c>
      <c r="C23" s="114">
        <f>C3</f>
        <v>4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9"/>
      <c r="P23" s="3"/>
    </row>
    <row r="24" spans="1:16" ht="19.5" customHeight="1" thickBot="1" x14ac:dyDescent="0.25">
      <c r="A24" s="307"/>
      <c r="B24" s="121">
        <f t="shared" si="2"/>
        <v>2026</v>
      </c>
      <c r="C24" s="121">
        <f>C3</f>
        <v>4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9"/>
      <c r="P24" s="3"/>
    </row>
    <row r="25" spans="1:16" ht="19.5" customHeight="1" thickBot="1" x14ac:dyDescent="0.25">
      <c r="A25" s="307"/>
      <c r="B25" s="129">
        <f t="shared" si="2"/>
        <v>2026</v>
      </c>
      <c r="C25" s="129">
        <f>C3</f>
        <v>4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38" t="s">
        <v>26</v>
      </c>
      <c r="P25" s="3"/>
    </row>
    <row r="26" spans="1:16" ht="19.5" customHeight="1" thickBot="1" x14ac:dyDescent="0.25">
      <c r="A26" s="307"/>
      <c r="B26" s="137">
        <f t="shared" si="2"/>
        <v>2026</v>
      </c>
      <c r="C26" s="137">
        <f>C3</f>
        <v>4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38"/>
      <c r="P26" s="3"/>
    </row>
    <row r="27" spans="1:16" ht="19.5" customHeight="1" thickBot="1" x14ac:dyDescent="0.25">
      <c r="A27" s="307"/>
      <c r="B27" s="137">
        <f t="shared" si="2"/>
        <v>2026</v>
      </c>
      <c r="C27" s="137">
        <f>C3</f>
        <v>4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38"/>
      <c r="P27" s="3"/>
    </row>
    <row r="28" spans="1:16" ht="19.5" customHeight="1" thickBot="1" x14ac:dyDescent="0.25">
      <c r="A28" s="307"/>
      <c r="B28" s="137">
        <f t="shared" si="2"/>
        <v>2026</v>
      </c>
      <c r="C28" s="137">
        <f>C3</f>
        <v>4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38"/>
      <c r="P28" s="3"/>
    </row>
    <row r="29" spans="1:16" ht="19.5" customHeight="1" thickBot="1" x14ac:dyDescent="0.25">
      <c r="A29" s="307"/>
      <c r="B29" s="137">
        <f t="shared" si="2"/>
        <v>2026</v>
      </c>
      <c r="C29" s="137">
        <f>C3</f>
        <v>4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38"/>
      <c r="P29" s="3"/>
    </row>
    <row r="30" spans="1:16" ht="19.5" customHeight="1" thickBot="1" x14ac:dyDescent="0.25">
      <c r="A30" s="307"/>
      <c r="B30" s="137">
        <f t="shared" si="2"/>
        <v>2026</v>
      </c>
      <c r="C30" s="137">
        <f>C3</f>
        <v>4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38"/>
      <c r="P30" s="3"/>
    </row>
    <row r="31" spans="1:16" ht="19.5" customHeight="1" thickBot="1" x14ac:dyDescent="0.25">
      <c r="A31" s="307"/>
      <c r="B31" s="137">
        <f t="shared" si="2"/>
        <v>2026</v>
      </c>
      <c r="C31" s="137">
        <f>C3</f>
        <v>4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38"/>
      <c r="P31" s="3"/>
    </row>
    <row r="32" spans="1:16" ht="19.5" customHeight="1" thickBot="1" x14ac:dyDescent="0.25">
      <c r="A32" s="307"/>
      <c r="B32" s="137">
        <f t="shared" si="2"/>
        <v>2026</v>
      </c>
      <c r="C32" s="137">
        <f>C3</f>
        <v>4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38"/>
      <c r="P32" s="3"/>
    </row>
    <row r="33" spans="1:16" ht="19.5" customHeight="1" thickBot="1" x14ac:dyDescent="0.25">
      <c r="A33" s="307"/>
      <c r="B33" s="147">
        <f t="shared" si="2"/>
        <v>2026</v>
      </c>
      <c r="C33" s="148">
        <f>C3</f>
        <v>4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38"/>
      <c r="P33" s="3"/>
    </row>
    <row r="34" spans="1:16" ht="19.5" customHeight="1" thickBot="1" x14ac:dyDescent="0.25">
      <c r="A34" s="307"/>
      <c r="B34" s="257">
        <f t="shared" si="2"/>
        <v>2026</v>
      </c>
      <c r="C34" s="157">
        <f>C3</f>
        <v>4</v>
      </c>
      <c r="D34" s="158">
        <v>508</v>
      </c>
      <c r="E34" s="159"/>
      <c r="F34" s="284"/>
      <c r="G34" s="160"/>
      <c r="H34" s="161"/>
      <c r="I34" s="162"/>
      <c r="J34" s="162"/>
      <c r="K34" s="162"/>
      <c r="L34" s="163"/>
      <c r="M34" s="164"/>
      <c r="N34" s="165"/>
      <c r="O34" s="336" t="s">
        <v>6</v>
      </c>
      <c r="P34" s="3"/>
    </row>
    <row r="35" spans="1:16" ht="19.5" customHeight="1" thickBot="1" x14ac:dyDescent="0.25">
      <c r="A35" s="307"/>
      <c r="B35" s="258">
        <f t="shared" si="2"/>
        <v>2026</v>
      </c>
      <c r="C35" s="157">
        <f>C3</f>
        <v>4</v>
      </c>
      <c r="D35" s="166">
        <v>513</v>
      </c>
      <c r="E35" s="167"/>
      <c r="F35" s="285"/>
      <c r="G35" s="168"/>
      <c r="H35" s="169"/>
      <c r="I35" s="170"/>
      <c r="J35" s="170"/>
      <c r="K35" s="170"/>
      <c r="L35" s="171"/>
      <c r="M35" s="172"/>
      <c r="N35" s="173"/>
      <c r="O35" s="336"/>
      <c r="P35" s="3"/>
    </row>
    <row r="36" spans="1:16" ht="19.5" customHeight="1" thickBot="1" x14ac:dyDescent="0.25">
      <c r="A36" s="307"/>
      <c r="B36" s="258">
        <f t="shared" si="2"/>
        <v>2026</v>
      </c>
      <c r="C36" s="157">
        <f>C3</f>
        <v>4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36"/>
      <c r="P36" s="3"/>
    </row>
    <row r="37" spans="1:16" ht="19.5" customHeight="1" thickBot="1" x14ac:dyDescent="0.25">
      <c r="A37" s="307"/>
      <c r="B37" s="258">
        <f t="shared" si="2"/>
        <v>2026</v>
      </c>
      <c r="C37" s="157">
        <f>C3</f>
        <v>4</v>
      </c>
      <c r="D37" s="166">
        <v>801</v>
      </c>
      <c r="E37" s="167"/>
      <c r="F37" s="285"/>
      <c r="G37" s="168"/>
      <c r="H37" s="169"/>
      <c r="I37" s="170"/>
      <c r="J37" s="170"/>
      <c r="K37" s="170"/>
      <c r="L37" s="171"/>
      <c r="M37" s="172"/>
      <c r="N37" s="173"/>
      <c r="O37" s="336"/>
      <c r="P37" s="3"/>
    </row>
    <row r="38" spans="1:16" ht="19.5" customHeight="1" thickBot="1" x14ac:dyDescent="0.25">
      <c r="A38" s="307"/>
      <c r="B38" s="259">
        <f t="shared" si="2"/>
        <v>2026</v>
      </c>
      <c r="C38" s="174">
        <f>C3</f>
        <v>4</v>
      </c>
      <c r="D38" s="175">
        <v>804</v>
      </c>
      <c r="E38" s="176">
        <v>46140</v>
      </c>
      <c r="F38" s="286">
        <v>4.5</v>
      </c>
      <c r="G38" s="177">
        <v>150</v>
      </c>
      <c r="H38" s="178">
        <v>3</v>
      </c>
      <c r="I38" s="179" t="s">
        <v>30</v>
      </c>
      <c r="J38" s="179"/>
      <c r="K38" s="179" t="s">
        <v>29</v>
      </c>
      <c r="L38" s="180"/>
      <c r="M38" s="181"/>
      <c r="N38" s="182"/>
      <c r="O38" s="336"/>
      <c r="P38" s="3"/>
    </row>
    <row r="39" spans="1:16" ht="19.5" customHeight="1" x14ac:dyDescent="0.2">
      <c r="A39" s="307"/>
      <c r="B39" s="256">
        <f t="shared" si="2"/>
        <v>2026</v>
      </c>
      <c r="C39" s="183">
        <f>C3</f>
        <v>4</v>
      </c>
      <c r="D39" s="184">
        <v>703</v>
      </c>
      <c r="E39" s="185"/>
      <c r="F39" s="287"/>
      <c r="G39" s="186"/>
      <c r="H39" s="187"/>
      <c r="I39" s="188"/>
      <c r="J39" s="189"/>
      <c r="K39" s="189"/>
      <c r="L39" s="190"/>
      <c r="M39" s="191"/>
      <c r="N39" s="192"/>
      <c r="O39" s="340" t="s">
        <v>7</v>
      </c>
      <c r="P39" s="3"/>
    </row>
    <row r="40" spans="1:16" ht="19.5" customHeight="1" x14ac:dyDescent="0.2">
      <c r="A40" s="307"/>
      <c r="B40" s="254">
        <f t="shared" si="2"/>
        <v>2026</v>
      </c>
      <c r="C40" s="193">
        <f>C3</f>
        <v>4</v>
      </c>
      <c r="D40" s="194">
        <v>704</v>
      </c>
      <c r="E40" s="195"/>
      <c r="F40" s="288"/>
      <c r="G40" s="196"/>
      <c r="H40" s="188"/>
      <c r="I40" s="188"/>
      <c r="J40" s="197"/>
      <c r="K40" s="197"/>
      <c r="L40" s="198"/>
      <c r="M40" s="199"/>
      <c r="N40" s="200"/>
      <c r="O40" s="341"/>
      <c r="P40" s="3"/>
    </row>
    <row r="41" spans="1:16" ht="19.5" customHeight="1" x14ac:dyDescent="0.2">
      <c r="A41" s="307"/>
      <c r="B41" s="254">
        <f t="shared" si="2"/>
        <v>2026</v>
      </c>
      <c r="C41" s="193">
        <f>C3</f>
        <v>4</v>
      </c>
      <c r="D41" s="194">
        <v>705</v>
      </c>
      <c r="E41" s="195"/>
      <c r="F41" s="288"/>
      <c r="G41" s="196"/>
      <c r="H41" s="188"/>
      <c r="I41" s="188"/>
      <c r="J41" s="197"/>
      <c r="K41" s="197"/>
      <c r="L41" s="198"/>
      <c r="M41" s="199"/>
      <c r="N41" s="200"/>
      <c r="O41" s="341"/>
      <c r="P41" s="3"/>
    </row>
    <row r="42" spans="1:16" ht="19.5" customHeight="1" x14ac:dyDescent="0.2">
      <c r="A42" s="307"/>
      <c r="B42" s="254">
        <f t="shared" si="2"/>
        <v>2026</v>
      </c>
      <c r="C42" s="193">
        <f>C3</f>
        <v>4</v>
      </c>
      <c r="D42" s="194">
        <v>706</v>
      </c>
      <c r="E42" s="195"/>
      <c r="F42" s="288"/>
      <c r="G42" s="196"/>
      <c r="H42" s="188"/>
      <c r="I42" s="188"/>
      <c r="J42" s="197"/>
      <c r="K42" s="197"/>
      <c r="L42" s="198"/>
      <c r="M42" s="199"/>
      <c r="N42" s="200"/>
      <c r="O42" s="341"/>
      <c r="P42" s="3"/>
    </row>
    <row r="43" spans="1:16" ht="19.5" customHeight="1" x14ac:dyDescent="0.2">
      <c r="A43" s="307"/>
      <c r="B43" s="254">
        <f t="shared" si="2"/>
        <v>2026</v>
      </c>
      <c r="C43" s="193">
        <f>C3</f>
        <v>4</v>
      </c>
      <c r="D43" s="194">
        <v>707</v>
      </c>
      <c r="E43" s="195"/>
      <c r="F43" s="288"/>
      <c r="G43" s="196"/>
      <c r="H43" s="188"/>
      <c r="I43" s="188"/>
      <c r="J43" s="197"/>
      <c r="K43" s="197"/>
      <c r="L43" s="198"/>
      <c r="M43" s="199"/>
      <c r="N43" s="200"/>
      <c r="O43" s="341"/>
      <c r="P43" s="3"/>
    </row>
    <row r="44" spans="1:16" ht="19.5" customHeight="1" x14ac:dyDescent="0.2">
      <c r="A44" s="307"/>
      <c r="B44" s="254">
        <f t="shared" si="2"/>
        <v>2026</v>
      </c>
      <c r="C44" s="193">
        <f>C3</f>
        <v>4</v>
      </c>
      <c r="D44" s="194">
        <v>711</v>
      </c>
      <c r="E44" s="195"/>
      <c r="F44" s="288"/>
      <c r="G44" s="196"/>
      <c r="H44" s="188"/>
      <c r="I44" s="188"/>
      <c r="J44" s="197"/>
      <c r="K44" s="197"/>
      <c r="L44" s="198"/>
      <c r="M44" s="199"/>
      <c r="N44" s="200"/>
      <c r="O44" s="341"/>
      <c r="P44" s="3"/>
    </row>
    <row r="45" spans="1:16" ht="19.5" customHeight="1" x14ac:dyDescent="0.2">
      <c r="A45" s="307"/>
      <c r="B45" s="201">
        <f t="shared" si="2"/>
        <v>2026</v>
      </c>
      <c r="C45" s="201">
        <f>C3</f>
        <v>4</v>
      </c>
      <c r="D45" s="202">
        <v>716</v>
      </c>
      <c r="E45" s="203"/>
      <c r="F45" s="289"/>
      <c r="G45" s="204"/>
      <c r="H45" s="205"/>
      <c r="I45" s="206"/>
      <c r="J45" s="204"/>
      <c r="K45" s="204"/>
      <c r="L45" s="207"/>
      <c r="M45" s="208"/>
      <c r="N45" s="209"/>
      <c r="O45" s="341"/>
      <c r="P45" s="3"/>
    </row>
    <row r="46" spans="1:16" ht="19.5" customHeight="1" x14ac:dyDescent="0.2">
      <c r="A46" s="307"/>
      <c r="B46" s="254">
        <f t="shared" si="2"/>
        <v>2026</v>
      </c>
      <c r="C46" s="193">
        <f>C3</f>
        <v>4</v>
      </c>
      <c r="D46" s="194">
        <v>718</v>
      </c>
      <c r="E46" s="195"/>
      <c r="F46" s="288"/>
      <c r="G46" s="196"/>
      <c r="H46" s="188"/>
      <c r="I46" s="188"/>
      <c r="J46" s="196"/>
      <c r="K46" s="197"/>
      <c r="L46" s="210"/>
      <c r="M46" s="211"/>
      <c r="N46" s="212"/>
      <c r="O46" s="341"/>
      <c r="P46" s="3"/>
    </row>
    <row r="47" spans="1:16" ht="19.5" customHeight="1" x14ac:dyDescent="0.2">
      <c r="A47" s="307"/>
      <c r="B47" s="254">
        <f t="shared" si="2"/>
        <v>2026</v>
      </c>
      <c r="C47" s="193">
        <f>C3</f>
        <v>4</v>
      </c>
      <c r="D47" s="194">
        <v>719</v>
      </c>
      <c r="E47" s="195"/>
      <c r="F47" s="288"/>
      <c r="G47" s="196"/>
      <c r="H47" s="188"/>
      <c r="I47" s="188"/>
      <c r="J47" s="197"/>
      <c r="K47" s="197"/>
      <c r="L47" s="198"/>
      <c r="M47" s="199"/>
      <c r="N47" s="200"/>
      <c r="O47" s="341"/>
      <c r="P47" s="3"/>
    </row>
    <row r="48" spans="1:16" ht="19.5" customHeight="1" x14ac:dyDescent="0.2">
      <c r="A48" s="307"/>
      <c r="B48" s="254">
        <f t="shared" si="2"/>
        <v>2026</v>
      </c>
      <c r="C48" s="193">
        <f>C3</f>
        <v>4</v>
      </c>
      <c r="D48" s="194">
        <v>720</v>
      </c>
      <c r="E48" s="195"/>
      <c r="F48" s="288"/>
      <c r="G48" s="196"/>
      <c r="H48" s="188"/>
      <c r="I48" s="188"/>
      <c r="J48" s="197"/>
      <c r="K48" s="197"/>
      <c r="L48" s="198"/>
      <c r="M48" s="199"/>
      <c r="N48" s="200"/>
      <c r="O48" s="341"/>
      <c r="P48" s="3"/>
    </row>
    <row r="49" spans="1:16" ht="19.5" customHeight="1" x14ac:dyDescent="0.2">
      <c r="A49" s="307"/>
      <c r="B49" s="254">
        <f t="shared" si="2"/>
        <v>2026</v>
      </c>
      <c r="C49" s="193">
        <f>C3</f>
        <v>4</v>
      </c>
      <c r="D49" s="194">
        <v>723</v>
      </c>
      <c r="E49" s="195"/>
      <c r="F49" s="288"/>
      <c r="G49" s="196"/>
      <c r="H49" s="188"/>
      <c r="I49" s="188"/>
      <c r="J49" s="196"/>
      <c r="K49" s="197"/>
      <c r="L49" s="210"/>
      <c r="M49" s="211"/>
      <c r="N49" s="212"/>
      <c r="O49" s="341"/>
      <c r="P49" s="3"/>
    </row>
    <row r="50" spans="1:16" ht="19.5" customHeight="1" x14ac:dyDescent="0.2">
      <c r="A50" s="307"/>
      <c r="B50" s="254">
        <f t="shared" si="2"/>
        <v>2026</v>
      </c>
      <c r="C50" s="193">
        <f>C3</f>
        <v>4</v>
      </c>
      <c r="D50" s="194">
        <v>724</v>
      </c>
      <c r="E50" s="195"/>
      <c r="F50" s="288"/>
      <c r="G50" s="196"/>
      <c r="H50" s="188"/>
      <c r="I50" s="188"/>
      <c r="J50" s="197"/>
      <c r="K50" s="197"/>
      <c r="L50" s="198"/>
      <c r="M50" s="199"/>
      <c r="N50" s="200"/>
      <c r="O50" s="341"/>
      <c r="P50" s="3"/>
    </row>
    <row r="51" spans="1:16" ht="19.5" customHeight="1" thickBot="1" x14ac:dyDescent="0.25">
      <c r="A51" s="307"/>
      <c r="B51" s="255">
        <f t="shared" si="2"/>
        <v>2026</v>
      </c>
      <c r="C51" s="251">
        <f>C3</f>
        <v>4</v>
      </c>
      <c r="D51" s="213">
        <v>726</v>
      </c>
      <c r="E51" s="214"/>
      <c r="F51" s="290"/>
      <c r="G51" s="215"/>
      <c r="H51" s="216"/>
      <c r="I51" s="188"/>
      <c r="J51" s="217"/>
      <c r="K51" s="217"/>
      <c r="L51" s="218"/>
      <c r="M51" s="219"/>
      <c r="N51" s="220"/>
      <c r="O51" s="342"/>
      <c r="P51" s="3"/>
    </row>
    <row r="52" spans="1:16" ht="19.5" customHeight="1" thickBot="1" x14ac:dyDescent="0.25">
      <c r="A52" s="307"/>
      <c r="B52" s="252">
        <v>2026</v>
      </c>
      <c r="C52" s="28">
        <v>4</v>
      </c>
      <c r="D52" s="29">
        <v>809</v>
      </c>
      <c r="E52" s="26">
        <v>46139</v>
      </c>
      <c r="F52" s="291">
        <v>5.3</v>
      </c>
      <c r="G52" s="27">
        <v>148</v>
      </c>
      <c r="H52" s="28">
        <v>3</v>
      </c>
      <c r="I52" s="29" t="s">
        <v>30</v>
      </c>
      <c r="J52" s="30"/>
      <c r="K52" s="30" t="s">
        <v>29</v>
      </c>
      <c r="L52" s="31"/>
      <c r="M52" s="32"/>
      <c r="N52" s="33"/>
      <c r="O52" s="337" t="s">
        <v>8</v>
      </c>
      <c r="P52" s="3"/>
    </row>
    <row r="53" spans="1:16" ht="19.5" customHeight="1" thickBot="1" x14ac:dyDescent="0.25">
      <c r="A53" s="307"/>
      <c r="B53" s="250">
        <v>2026</v>
      </c>
      <c r="C53" s="36">
        <v>4</v>
      </c>
      <c r="D53" s="37">
        <v>812</v>
      </c>
      <c r="E53" s="34">
        <v>46139</v>
      </c>
      <c r="F53" s="292">
        <v>5.6</v>
      </c>
      <c r="G53" s="35">
        <v>123</v>
      </c>
      <c r="H53" s="36">
        <v>3</v>
      </c>
      <c r="I53" s="37" t="s">
        <v>30</v>
      </c>
      <c r="J53" s="38"/>
      <c r="K53" s="38" t="s">
        <v>29</v>
      </c>
      <c r="L53" s="39"/>
      <c r="M53" s="40"/>
      <c r="N53" s="41"/>
      <c r="O53" s="337"/>
      <c r="P53" s="3"/>
    </row>
    <row r="54" spans="1:16" ht="19.5" customHeight="1" thickBot="1" x14ac:dyDescent="0.25">
      <c r="A54" s="307"/>
      <c r="B54" s="249">
        <v>2026</v>
      </c>
      <c r="C54" s="44">
        <v>4</v>
      </c>
      <c r="D54" s="58">
        <v>815</v>
      </c>
      <c r="E54" s="42">
        <v>46139</v>
      </c>
      <c r="F54" s="293">
        <v>5.0999999999999996</v>
      </c>
      <c r="G54" s="43">
        <v>167</v>
      </c>
      <c r="H54" s="44">
        <v>3</v>
      </c>
      <c r="I54" s="45" t="s">
        <v>30</v>
      </c>
      <c r="J54" s="46"/>
      <c r="K54" s="46" t="s">
        <v>29</v>
      </c>
      <c r="L54" s="47"/>
      <c r="M54" s="48"/>
      <c r="N54" s="49"/>
      <c r="O54" s="337"/>
      <c r="P54" s="3"/>
    </row>
    <row r="55" spans="1:16" ht="19.5" customHeight="1" thickBot="1" x14ac:dyDescent="0.25">
      <c r="A55" s="307"/>
      <c r="B55" s="249">
        <v>2026</v>
      </c>
      <c r="C55" s="44">
        <v>4</v>
      </c>
      <c r="D55" s="58" t="s">
        <v>44</v>
      </c>
      <c r="E55" s="50">
        <v>46140</v>
      </c>
      <c r="F55" s="294">
        <v>2.7</v>
      </c>
      <c r="G55" s="43">
        <v>200</v>
      </c>
      <c r="H55" s="44">
        <v>3</v>
      </c>
      <c r="I55" s="45" t="s">
        <v>30</v>
      </c>
      <c r="J55" s="46"/>
      <c r="K55" s="46" t="s">
        <v>29</v>
      </c>
      <c r="L55" s="47"/>
      <c r="M55" s="48"/>
      <c r="N55" s="49"/>
      <c r="O55" s="337"/>
      <c r="P55" s="3"/>
    </row>
    <row r="56" spans="1:16" ht="19.5" customHeight="1" thickBot="1" x14ac:dyDescent="0.25">
      <c r="A56" s="307"/>
      <c r="B56" s="249">
        <v>2026</v>
      </c>
      <c r="C56" s="44">
        <v>4</v>
      </c>
      <c r="D56" s="58">
        <v>902</v>
      </c>
      <c r="E56" s="50">
        <v>46140</v>
      </c>
      <c r="F56" s="294">
        <v>2.4</v>
      </c>
      <c r="G56" s="43">
        <v>200</v>
      </c>
      <c r="H56" s="44">
        <v>3</v>
      </c>
      <c r="I56" s="45" t="s">
        <v>30</v>
      </c>
      <c r="J56" s="46"/>
      <c r="K56" s="46" t="s">
        <v>29</v>
      </c>
      <c r="L56" s="47"/>
      <c r="M56" s="48"/>
      <c r="N56" s="49"/>
      <c r="O56" s="337"/>
      <c r="P56" s="3"/>
    </row>
    <row r="57" spans="1:16" ht="19.5" customHeight="1" thickBot="1" x14ac:dyDescent="0.25">
      <c r="A57" s="307"/>
      <c r="B57" s="249">
        <v>2026</v>
      </c>
      <c r="C57" s="44">
        <v>4</v>
      </c>
      <c r="D57" s="58">
        <v>906</v>
      </c>
      <c r="E57" s="50">
        <v>46139</v>
      </c>
      <c r="F57" s="294">
        <v>3.3</v>
      </c>
      <c r="G57" s="43">
        <v>200</v>
      </c>
      <c r="H57" s="44">
        <v>3</v>
      </c>
      <c r="I57" s="45" t="s">
        <v>30</v>
      </c>
      <c r="J57" s="46"/>
      <c r="K57" s="46" t="s">
        <v>29</v>
      </c>
      <c r="L57" s="47"/>
      <c r="M57" s="48"/>
      <c r="N57" s="49"/>
      <c r="O57" s="337"/>
      <c r="P57" s="3"/>
    </row>
    <row r="58" spans="1:16" ht="19.5" customHeight="1" thickBot="1" x14ac:dyDescent="0.25">
      <c r="A58" s="307"/>
      <c r="B58" s="249">
        <v>2026</v>
      </c>
      <c r="C58" s="44">
        <v>4</v>
      </c>
      <c r="D58" s="58" t="s">
        <v>45</v>
      </c>
      <c r="E58" s="50">
        <v>46139</v>
      </c>
      <c r="F58" s="294">
        <v>4.5999999999999996</v>
      </c>
      <c r="G58" s="43">
        <v>132</v>
      </c>
      <c r="H58" s="44">
        <v>3</v>
      </c>
      <c r="I58" s="45" t="s">
        <v>30</v>
      </c>
      <c r="J58" s="46"/>
      <c r="K58" s="46" t="s">
        <v>29</v>
      </c>
      <c r="L58" s="47"/>
      <c r="M58" s="48"/>
      <c r="N58" s="49"/>
      <c r="O58" s="337"/>
      <c r="P58" s="3"/>
    </row>
    <row r="59" spans="1:16" ht="19.5" customHeight="1" thickBot="1" x14ac:dyDescent="0.25">
      <c r="A59" s="319"/>
      <c r="B59" s="249">
        <v>2026</v>
      </c>
      <c r="C59" s="44">
        <v>4</v>
      </c>
      <c r="D59" s="58">
        <v>912</v>
      </c>
      <c r="E59" s="50">
        <v>46140</v>
      </c>
      <c r="F59" s="294">
        <v>6.7</v>
      </c>
      <c r="G59" s="43">
        <v>103</v>
      </c>
      <c r="H59" s="44">
        <v>3</v>
      </c>
      <c r="I59" s="45" t="s">
        <v>30</v>
      </c>
      <c r="J59" s="46"/>
      <c r="K59" s="46" t="s">
        <v>29</v>
      </c>
      <c r="L59" s="47"/>
      <c r="M59" s="48"/>
      <c r="N59" s="49"/>
      <c r="O59" s="337"/>
      <c r="P59" s="3"/>
    </row>
    <row r="60" spans="1:16" ht="19.5" customHeight="1" thickBot="1" x14ac:dyDescent="0.25">
      <c r="A60" s="320"/>
      <c r="B60" s="249">
        <v>2026</v>
      </c>
      <c r="C60" s="44">
        <v>4</v>
      </c>
      <c r="D60" s="58" t="s">
        <v>46</v>
      </c>
      <c r="E60" s="50">
        <v>46140</v>
      </c>
      <c r="F60" s="294">
        <v>2</v>
      </c>
      <c r="G60" s="43">
        <v>200</v>
      </c>
      <c r="H60" s="44">
        <v>3</v>
      </c>
      <c r="I60" s="45" t="s">
        <v>30</v>
      </c>
      <c r="J60" s="46"/>
      <c r="K60" s="46" t="s">
        <v>29</v>
      </c>
      <c r="L60" s="47"/>
      <c r="M60" s="48"/>
      <c r="N60" s="49"/>
      <c r="O60" s="337"/>
      <c r="P60" s="3"/>
    </row>
    <row r="61" spans="1:16" ht="19.5" customHeight="1" thickBot="1" x14ac:dyDescent="0.25">
      <c r="A61" s="321"/>
      <c r="B61" s="249">
        <v>2026</v>
      </c>
      <c r="C61" s="44">
        <v>4</v>
      </c>
      <c r="D61" s="58">
        <v>915</v>
      </c>
      <c r="E61" s="50">
        <v>46140</v>
      </c>
      <c r="F61" s="294">
        <v>2.5</v>
      </c>
      <c r="G61" s="43">
        <v>200</v>
      </c>
      <c r="H61" s="44">
        <v>3</v>
      </c>
      <c r="I61" s="45" t="s">
        <v>30</v>
      </c>
      <c r="J61" s="46"/>
      <c r="K61" s="46" t="s">
        <v>29</v>
      </c>
      <c r="L61" s="47"/>
      <c r="M61" s="48"/>
      <c r="N61" s="49"/>
      <c r="O61" s="337"/>
      <c r="P61" s="3"/>
    </row>
    <row r="62" spans="1:16" ht="19.5" customHeight="1" thickBot="1" x14ac:dyDescent="0.25">
      <c r="A62" s="226"/>
      <c r="B62" s="260">
        <v>2026</v>
      </c>
      <c r="C62" s="261">
        <v>4</v>
      </c>
      <c r="D62" s="262">
        <v>918</v>
      </c>
      <c r="E62" s="263"/>
      <c r="F62" s="295"/>
      <c r="G62" s="264"/>
      <c r="H62" s="261"/>
      <c r="I62" s="265" t="s">
        <v>31</v>
      </c>
      <c r="J62" s="266"/>
      <c r="K62" s="266"/>
      <c r="L62" s="267"/>
      <c r="M62" s="268"/>
      <c r="N62" s="269"/>
      <c r="O62" s="337"/>
      <c r="P62" s="3"/>
    </row>
    <row r="63" spans="1:16" ht="19.5" customHeight="1" thickBot="1" x14ac:dyDescent="0.25">
      <c r="A63" s="224"/>
      <c r="B63" s="253">
        <v>2026</v>
      </c>
      <c r="C63" s="53">
        <v>4</v>
      </c>
      <c r="D63" s="59">
        <v>919</v>
      </c>
      <c r="E63" s="51">
        <v>46139</v>
      </c>
      <c r="F63" s="296">
        <v>6</v>
      </c>
      <c r="G63" s="52">
        <v>139</v>
      </c>
      <c r="H63" s="53">
        <v>3</v>
      </c>
      <c r="I63" s="45" t="s">
        <v>30</v>
      </c>
      <c r="J63" s="54"/>
      <c r="K63" s="54" t="s">
        <v>29</v>
      </c>
      <c r="L63" s="55"/>
      <c r="M63" s="56"/>
      <c r="N63" s="57"/>
      <c r="O63" s="337"/>
      <c r="P63" s="6"/>
    </row>
    <row r="64" spans="1:16" ht="19.5" customHeight="1" x14ac:dyDescent="0.2">
      <c r="A64" s="224"/>
      <c r="B64" s="221" t="s">
        <v>36</v>
      </c>
      <c r="C64" s="222"/>
      <c r="D64" s="222"/>
      <c r="E64" s="222"/>
      <c r="F64" s="222"/>
      <c r="G64" s="222"/>
      <c r="H64" s="222"/>
      <c r="I64" s="223"/>
      <c r="J64" s="222"/>
      <c r="K64" s="222"/>
      <c r="L64" s="222"/>
      <c r="M64" s="222"/>
      <c r="N64" s="235"/>
      <c r="O64" s="25"/>
      <c r="P64" s="5"/>
    </row>
    <row r="65" spans="1:16" ht="19.5" customHeight="1" x14ac:dyDescent="0.2">
      <c r="A65" s="224"/>
      <c r="B65" s="221" t="s">
        <v>37</v>
      </c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36"/>
      <c r="O65" s="329"/>
      <c r="P65" s="11"/>
    </row>
    <row r="66" spans="1:16" ht="19.5" customHeight="1" x14ac:dyDescent="0.2">
      <c r="A66" s="224"/>
      <c r="B66" s="221" t="s">
        <v>38</v>
      </c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36"/>
      <c r="O66" s="25"/>
      <c r="P66" s="17"/>
    </row>
    <row r="67" spans="1:16" ht="19.5" customHeight="1" x14ac:dyDescent="0.2">
      <c r="A67" s="224"/>
      <c r="B67" s="227" t="s">
        <v>47</v>
      </c>
      <c r="C67" s="24"/>
      <c r="D67" s="24"/>
      <c r="E67" s="224"/>
      <c r="F67" s="224"/>
      <c r="G67" s="224"/>
      <c r="H67" s="224"/>
      <c r="I67" s="24"/>
      <c r="J67" s="24"/>
      <c r="K67" s="24"/>
      <c r="L67" s="24"/>
      <c r="M67" s="24"/>
      <c r="N67" s="237"/>
      <c r="O67" s="330"/>
      <c r="P67" s="8"/>
    </row>
    <row r="68" spans="1:16" ht="15" customHeight="1" x14ac:dyDescent="0.2">
      <c r="A68" s="14"/>
      <c r="B68" s="14"/>
      <c r="C68" s="14"/>
      <c r="D68" s="14"/>
      <c r="E68" s="14"/>
      <c r="F68" s="14"/>
      <c r="G68" s="14"/>
      <c r="H68" s="16"/>
      <c r="I68" s="15"/>
      <c r="J68" s="331"/>
      <c r="K68" s="332"/>
      <c r="L68" s="16"/>
      <c r="M68" s="19"/>
      <c r="N68" s="238"/>
      <c r="O68" s="333"/>
    </row>
    <row r="69" spans="1:16" ht="15" customHeight="1" x14ac:dyDescent="0.2">
      <c r="H69" s="20"/>
      <c r="O69" s="14"/>
      <c r="P69" s="14"/>
    </row>
    <row r="70" spans="1:16" ht="15" customHeight="1" x14ac:dyDescent="0.2">
      <c r="G70" s="18"/>
      <c r="P70" s="14"/>
    </row>
    <row r="71" spans="1:16" ht="15" customHeight="1" x14ac:dyDescent="0.2">
      <c r="I71" s="10" t="s">
        <v>13</v>
      </c>
      <c r="J71" s="4">
        <v>180</v>
      </c>
      <c r="P71" s="14"/>
    </row>
    <row r="72" spans="1:16" ht="15" customHeight="1" x14ac:dyDescent="0.2">
      <c r="I72" s="10" t="s">
        <v>14</v>
      </c>
      <c r="J72" s="4">
        <v>36</v>
      </c>
      <c r="P72" s="14"/>
    </row>
    <row r="73" spans="1:16" ht="15" customHeight="1" x14ac:dyDescent="0.2">
      <c r="I73" s="10" t="s">
        <v>15</v>
      </c>
      <c r="J73" s="13">
        <f>J72/J71</f>
        <v>0.2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N75" s="4"/>
    </row>
    <row r="76" spans="1:16" x14ac:dyDescent="0.2">
      <c r="I76" s="248" t="s">
        <v>18</v>
      </c>
      <c r="J76" s="18">
        <f>SUM(J16:J21)</f>
        <v>0</v>
      </c>
      <c r="N76" s="4"/>
    </row>
    <row r="77" spans="1:16" x14ac:dyDescent="0.2">
      <c r="I77" s="248" t="s">
        <v>21</v>
      </c>
      <c r="J77" s="18">
        <f>SUM(J22:J24)</f>
        <v>0</v>
      </c>
      <c r="N77" s="4"/>
    </row>
    <row r="78" spans="1:16" x14ac:dyDescent="0.2">
      <c r="I78" s="248" t="s">
        <v>22</v>
      </c>
      <c r="J78" s="18">
        <f>SUM(J25:J33)</f>
        <v>0</v>
      </c>
      <c r="N78" s="4"/>
    </row>
    <row r="79" spans="1:16" x14ac:dyDescent="0.2">
      <c r="I79" s="248" t="s">
        <v>6</v>
      </c>
      <c r="J79" s="18">
        <f>SUM(J34:J38)</f>
        <v>0</v>
      </c>
      <c r="N79" s="4"/>
    </row>
    <row r="80" spans="1:16" x14ac:dyDescent="0.2">
      <c r="I80" s="248" t="s">
        <v>23</v>
      </c>
      <c r="J80" s="18">
        <f>SUM(J39:J51)</f>
        <v>0</v>
      </c>
      <c r="N80" s="4"/>
    </row>
    <row r="81" spans="9:14" x14ac:dyDescent="0.2">
      <c r="I81" s="248" t="s">
        <v>27</v>
      </c>
      <c r="J81" s="18">
        <f>SUM(J52:J53)</f>
        <v>0</v>
      </c>
      <c r="N81" s="4"/>
    </row>
    <row r="82" spans="9:14" x14ac:dyDescent="0.2">
      <c r="I82" s="248" t="s">
        <v>24</v>
      </c>
      <c r="J82" s="18">
        <f>SUM(J54:J63)</f>
        <v>0</v>
      </c>
      <c r="N82" s="4"/>
    </row>
    <row r="83" spans="9:14" x14ac:dyDescent="0.2">
      <c r="J83" s="18">
        <f>SUM(J75:J82)</f>
        <v>0</v>
      </c>
      <c r="N83" s="4"/>
    </row>
    <row r="84" spans="9:14" x14ac:dyDescent="0.2">
      <c r="N84" s="4"/>
    </row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K3:K63" xr:uid="{0F8E260F-B8CB-40AE-97FB-6027E79E978F}">
      <formula1>"Preliminary, Complete"</formula1>
    </dataValidation>
    <dataValidation type="list" allowBlank="1" showInputMessage="1" showErrorMessage="1" sqref="I3:I63" xr:uid="{D272850A-07A0-4635-B921-6C4812DBAF2E}">
      <formula1>"Not Processed, No Smelt Catch, Not Sampled, Longfin Smelt, Delta Smelt"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FFE5-8CD2-4914-9FD1-C01EF012BB98}">
  <dimension ref="A1:P84"/>
  <sheetViews>
    <sheetView workbookViewId="0">
      <selection activeCell="K70" sqref="K70"/>
    </sheetView>
  </sheetViews>
  <sheetFormatPr defaultColWidth="9.140625" defaultRowHeight="12.75" x14ac:dyDescent="0.2"/>
  <cols>
    <col min="1" max="1" width="9.140625" style="4"/>
    <col min="2" max="2" width="5.85546875" style="4" customWidth="1"/>
    <col min="3" max="4" width="8.140625" style="4" customWidth="1"/>
    <col min="5" max="5" width="8.5703125" style="4" customWidth="1"/>
    <col min="6" max="6" width="9.85546875" style="4" customWidth="1"/>
    <col min="7" max="7" width="8.85546875" style="4" customWidth="1"/>
    <col min="8" max="8" width="11.85546875" style="4" customWidth="1"/>
    <col min="9" max="9" width="16" style="10" customWidth="1"/>
    <col min="10" max="10" width="7" style="4" customWidth="1"/>
    <col min="11" max="11" width="17" style="4" customWidth="1"/>
    <col min="12" max="12" width="8" style="4" customWidth="1"/>
    <col min="13" max="13" width="7.85546875" style="4" customWidth="1"/>
    <col min="14" max="14" width="8.140625" style="23" customWidth="1"/>
    <col min="15" max="15" width="7.7109375" style="4" customWidth="1"/>
    <col min="16" max="16" width="9.140625" style="4"/>
    <col min="17" max="17" width="16.42578125" style="4" customWidth="1"/>
    <col min="18" max="18" width="18.85546875" style="4" customWidth="1"/>
    <col min="19" max="22" width="9.140625" style="4"/>
    <col min="23" max="23" width="19" style="4" customWidth="1"/>
    <col min="24" max="24" width="9.140625" style="4"/>
    <col min="25" max="25" width="9.7109375" style="4" bestFit="1" customWidth="1"/>
    <col min="26" max="16384" width="9.140625" style="4"/>
  </cols>
  <sheetData>
    <row r="1" spans="1:16" ht="13.5" thickBot="1" x14ac:dyDescent="0.25">
      <c r="A1" s="1"/>
      <c r="B1" s="2"/>
      <c r="C1" s="2"/>
      <c r="D1" s="2"/>
      <c r="E1" s="2"/>
      <c r="F1" s="2"/>
      <c r="G1" s="2"/>
      <c r="H1" s="2"/>
      <c r="I1" s="9"/>
      <c r="J1" s="2"/>
      <c r="K1" s="2"/>
      <c r="L1" s="2"/>
      <c r="M1" s="2"/>
      <c r="N1" s="231"/>
      <c r="O1" s="327"/>
      <c r="P1" s="3"/>
    </row>
    <row r="2" spans="1:16" s="306" customFormat="1" ht="36" customHeight="1" thickBot="1" x14ac:dyDescent="0.25">
      <c r="A2" s="302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32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232" t="s">
        <v>11</v>
      </c>
      <c r="O2" s="328"/>
      <c r="P2" s="305"/>
    </row>
    <row r="3" spans="1:16" ht="19.5" customHeight="1" thickBot="1" x14ac:dyDescent="0.25">
      <c r="A3" s="307"/>
      <c r="B3" s="61">
        <v>2026</v>
      </c>
      <c r="C3" s="61">
        <v>5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4" t="s">
        <v>25</v>
      </c>
      <c r="P3" s="3"/>
    </row>
    <row r="4" spans="1:16" ht="19.5" customHeight="1" thickBot="1" x14ac:dyDescent="0.25">
      <c r="A4" s="307"/>
      <c r="B4" s="67">
        <v>2026</v>
      </c>
      <c r="C4" s="68">
        <v>5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4"/>
      <c r="P4" s="3"/>
    </row>
    <row r="5" spans="1:16" ht="19.5" customHeight="1" thickBot="1" x14ac:dyDescent="0.25">
      <c r="A5" s="307"/>
      <c r="B5" s="67">
        <v>2026</v>
      </c>
      <c r="C5" s="68">
        <v>5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4"/>
      <c r="P5" s="3"/>
    </row>
    <row r="6" spans="1:16" ht="19.5" customHeight="1" thickBot="1" x14ac:dyDescent="0.25">
      <c r="A6" s="307"/>
      <c r="B6" s="67">
        <v>2026</v>
      </c>
      <c r="C6" s="68">
        <v>5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4"/>
      <c r="P6" s="3"/>
    </row>
    <row r="7" spans="1:16" ht="19.5" customHeight="1" thickBot="1" x14ac:dyDescent="0.25">
      <c r="A7" s="307"/>
      <c r="B7" s="67">
        <v>2026</v>
      </c>
      <c r="C7" s="68">
        <v>5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4"/>
      <c r="P7" s="3"/>
    </row>
    <row r="8" spans="1:16" ht="19.5" customHeight="1" thickBot="1" x14ac:dyDescent="0.25">
      <c r="A8" s="307"/>
      <c r="B8" s="67">
        <v>2026</v>
      </c>
      <c r="C8" s="68">
        <v>5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4"/>
      <c r="P8" s="3"/>
    </row>
    <row r="9" spans="1:16" ht="19.5" customHeight="1" thickBot="1" x14ac:dyDescent="0.25">
      <c r="A9" s="307"/>
      <c r="B9" s="67">
        <v>2026</v>
      </c>
      <c r="C9" s="68">
        <v>5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4"/>
      <c r="P9" s="3"/>
    </row>
    <row r="10" spans="1:16" ht="19.5" customHeight="1" thickBot="1" x14ac:dyDescent="0.25">
      <c r="A10" s="307"/>
      <c r="B10" s="67">
        <v>2026</v>
      </c>
      <c r="C10" s="68">
        <v>5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4"/>
      <c r="P10" s="3"/>
    </row>
    <row r="11" spans="1:16" ht="19.5" customHeight="1" thickBot="1" x14ac:dyDescent="0.25">
      <c r="A11" s="307"/>
      <c r="B11" s="67">
        <v>2026</v>
      </c>
      <c r="C11" s="68">
        <v>5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4"/>
      <c r="P11" s="3"/>
    </row>
    <row r="12" spans="1:16" ht="19.5" customHeight="1" thickBot="1" x14ac:dyDescent="0.25">
      <c r="A12" s="307"/>
      <c r="B12" s="67">
        <v>2026</v>
      </c>
      <c r="C12" s="68">
        <v>5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4"/>
      <c r="P12" s="3"/>
    </row>
    <row r="13" spans="1:16" ht="19.5" customHeight="1" thickBot="1" x14ac:dyDescent="0.25">
      <c r="A13" s="307"/>
      <c r="B13" s="67">
        <v>2026</v>
      </c>
      <c r="C13" s="68">
        <v>5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4"/>
      <c r="P13" s="3"/>
    </row>
    <row r="14" spans="1:16" ht="19.5" customHeight="1" thickBot="1" x14ac:dyDescent="0.25">
      <c r="A14" s="307"/>
      <c r="B14" s="67">
        <v>2026</v>
      </c>
      <c r="C14" s="68">
        <v>5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4"/>
      <c r="P14" s="3"/>
    </row>
    <row r="15" spans="1:16" ht="19.5" customHeight="1" thickBot="1" x14ac:dyDescent="0.25">
      <c r="A15" s="307"/>
      <c r="B15" s="75">
        <v>2026</v>
      </c>
      <c r="C15" s="68">
        <v>5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4"/>
      <c r="P15" s="3"/>
    </row>
    <row r="16" spans="1:16" ht="19.5" customHeight="1" thickBot="1" x14ac:dyDescent="0.25">
      <c r="A16" s="307"/>
      <c r="B16" s="81">
        <v>2026</v>
      </c>
      <c r="C16" s="82">
        <v>5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35" t="s">
        <v>18</v>
      </c>
      <c r="P16" s="3"/>
    </row>
    <row r="17" spans="1:16" ht="19.5" customHeight="1" thickBot="1" x14ac:dyDescent="0.25">
      <c r="A17" s="307"/>
      <c r="B17" s="89">
        <v>2026</v>
      </c>
      <c r="C17" s="89">
        <v>5</v>
      </c>
      <c r="D17" s="90">
        <v>342</v>
      </c>
      <c r="E17" s="91"/>
      <c r="F17" s="276"/>
      <c r="G17" s="92"/>
      <c r="H17" s="90"/>
      <c r="I17" s="90"/>
      <c r="J17" s="93"/>
      <c r="K17" s="93"/>
      <c r="L17" s="94"/>
      <c r="M17" s="95"/>
      <c r="N17" s="96"/>
      <c r="O17" s="335"/>
      <c r="P17" s="3"/>
    </row>
    <row r="18" spans="1:16" ht="19.5" customHeight="1" thickBot="1" x14ac:dyDescent="0.25">
      <c r="A18" s="307"/>
      <c r="B18" s="89">
        <v>2026</v>
      </c>
      <c r="C18" s="89">
        <v>5</v>
      </c>
      <c r="D18" s="90">
        <v>343</v>
      </c>
      <c r="E18" s="91"/>
      <c r="F18" s="276"/>
      <c r="G18" s="92"/>
      <c r="H18" s="90"/>
      <c r="I18" s="90"/>
      <c r="J18" s="93"/>
      <c r="K18" s="93"/>
      <c r="L18" s="94"/>
      <c r="M18" s="95"/>
      <c r="N18" s="96"/>
      <c r="O18" s="335"/>
      <c r="P18" s="3"/>
    </row>
    <row r="19" spans="1:16" ht="19.5" customHeight="1" thickBot="1" x14ac:dyDescent="0.25">
      <c r="A19" s="307"/>
      <c r="B19" s="89">
        <v>2026</v>
      </c>
      <c r="C19" s="89">
        <v>5</v>
      </c>
      <c r="D19" s="90">
        <v>344</v>
      </c>
      <c r="E19" s="91"/>
      <c r="F19" s="276"/>
      <c r="G19" s="92"/>
      <c r="H19" s="90"/>
      <c r="I19" s="90"/>
      <c r="J19" s="93"/>
      <c r="K19" s="93"/>
      <c r="L19" s="94"/>
      <c r="M19" s="95"/>
      <c r="N19" s="96"/>
      <c r="O19" s="335"/>
      <c r="P19" s="3"/>
    </row>
    <row r="20" spans="1:16" ht="19.5" customHeight="1" thickBot="1" x14ac:dyDescent="0.25">
      <c r="A20" s="307"/>
      <c r="B20" s="89">
        <v>2026</v>
      </c>
      <c r="C20" s="89">
        <v>5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35"/>
      <c r="P20" s="3"/>
    </row>
    <row r="21" spans="1:16" ht="19.5" customHeight="1" thickBot="1" x14ac:dyDescent="0.25">
      <c r="A21" s="307"/>
      <c r="B21" s="97">
        <v>2026</v>
      </c>
      <c r="C21" s="98">
        <v>5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35"/>
      <c r="P21" s="3"/>
    </row>
    <row r="22" spans="1:16" ht="19.5" customHeight="1" thickBot="1" x14ac:dyDescent="0.25">
      <c r="A22" s="307"/>
      <c r="B22" s="106">
        <v>2026</v>
      </c>
      <c r="C22" s="107">
        <v>5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9" t="s">
        <v>19</v>
      </c>
      <c r="P22" s="3"/>
    </row>
    <row r="23" spans="1:16" ht="19.5" customHeight="1" thickBot="1" x14ac:dyDescent="0.25">
      <c r="A23" s="307"/>
      <c r="B23" s="106">
        <v>2026</v>
      </c>
      <c r="C23" s="114">
        <v>5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9"/>
      <c r="P23" s="3"/>
    </row>
    <row r="24" spans="1:16" ht="19.5" customHeight="1" thickBot="1" x14ac:dyDescent="0.25">
      <c r="A24" s="307"/>
      <c r="B24" s="121">
        <v>2026</v>
      </c>
      <c r="C24" s="121">
        <v>5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9"/>
      <c r="P24" s="3"/>
    </row>
    <row r="25" spans="1:16" ht="19.5" customHeight="1" thickBot="1" x14ac:dyDescent="0.25">
      <c r="A25" s="307"/>
      <c r="B25" s="129">
        <v>2026</v>
      </c>
      <c r="C25" s="129">
        <v>5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38" t="s">
        <v>26</v>
      </c>
      <c r="P25" s="3"/>
    </row>
    <row r="26" spans="1:16" ht="19.5" customHeight="1" thickBot="1" x14ac:dyDescent="0.25">
      <c r="A26" s="307"/>
      <c r="B26" s="137">
        <v>2026</v>
      </c>
      <c r="C26" s="137">
        <v>5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38"/>
      <c r="P26" s="3"/>
    </row>
    <row r="27" spans="1:16" ht="19.5" customHeight="1" thickBot="1" x14ac:dyDescent="0.25">
      <c r="A27" s="307"/>
      <c r="B27" s="137">
        <v>2026</v>
      </c>
      <c r="C27" s="137">
        <v>5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38"/>
      <c r="P27" s="3"/>
    </row>
    <row r="28" spans="1:16" ht="19.5" customHeight="1" thickBot="1" x14ac:dyDescent="0.25">
      <c r="A28" s="307"/>
      <c r="B28" s="137">
        <v>2026</v>
      </c>
      <c r="C28" s="137">
        <v>5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38"/>
      <c r="P28" s="3"/>
    </row>
    <row r="29" spans="1:16" ht="19.5" customHeight="1" thickBot="1" x14ac:dyDescent="0.25">
      <c r="A29" s="307"/>
      <c r="B29" s="137">
        <v>2026</v>
      </c>
      <c r="C29" s="137">
        <v>5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38"/>
      <c r="P29" s="3"/>
    </row>
    <row r="30" spans="1:16" ht="19.5" customHeight="1" thickBot="1" x14ac:dyDescent="0.25">
      <c r="A30" s="307"/>
      <c r="B30" s="137">
        <v>2026</v>
      </c>
      <c r="C30" s="137">
        <v>5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38"/>
      <c r="P30" s="3"/>
    </row>
    <row r="31" spans="1:16" ht="19.5" customHeight="1" thickBot="1" x14ac:dyDescent="0.25">
      <c r="A31" s="307"/>
      <c r="B31" s="137">
        <v>2026</v>
      </c>
      <c r="C31" s="137">
        <v>5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38"/>
      <c r="P31" s="3"/>
    </row>
    <row r="32" spans="1:16" ht="19.5" customHeight="1" thickBot="1" x14ac:dyDescent="0.25">
      <c r="A32" s="307"/>
      <c r="B32" s="137">
        <v>2026</v>
      </c>
      <c r="C32" s="137">
        <v>5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38"/>
      <c r="P32" s="3"/>
    </row>
    <row r="33" spans="1:16" ht="19.5" customHeight="1" thickBot="1" x14ac:dyDescent="0.25">
      <c r="A33" s="307"/>
      <c r="B33" s="147">
        <v>2026</v>
      </c>
      <c r="C33" s="148">
        <v>5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38"/>
      <c r="P33" s="3"/>
    </row>
    <row r="34" spans="1:16" ht="19.5" customHeight="1" thickBot="1" x14ac:dyDescent="0.25">
      <c r="A34" s="307"/>
      <c r="B34" s="257">
        <v>2026</v>
      </c>
      <c r="C34" s="157">
        <v>5</v>
      </c>
      <c r="D34" s="158">
        <v>508</v>
      </c>
      <c r="E34" s="159"/>
      <c r="F34" s="284"/>
      <c r="G34" s="160"/>
      <c r="H34" s="161"/>
      <c r="I34" s="162"/>
      <c r="J34" s="162"/>
      <c r="K34" s="162"/>
      <c r="L34" s="163"/>
      <c r="M34" s="164"/>
      <c r="N34" s="165"/>
      <c r="O34" s="336" t="s">
        <v>6</v>
      </c>
      <c r="P34" s="3"/>
    </row>
    <row r="35" spans="1:16" ht="19.5" customHeight="1" thickBot="1" x14ac:dyDescent="0.25">
      <c r="A35" s="307"/>
      <c r="B35" s="258">
        <v>2026</v>
      </c>
      <c r="C35" s="157">
        <v>5</v>
      </c>
      <c r="D35" s="166">
        <v>513</v>
      </c>
      <c r="E35" s="167"/>
      <c r="F35" s="285"/>
      <c r="G35" s="168"/>
      <c r="H35" s="169"/>
      <c r="I35" s="170"/>
      <c r="J35" s="170"/>
      <c r="K35" s="170"/>
      <c r="L35" s="171"/>
      <c r="M35" s="172"/>
      <c r="N35" s="173"/>
      <c r="O35" s="336"/>
      <c r="P35" s="3"/>
    </row>
    <row r="36" spans="1:16" ht="19.5" customHeight="1" thickBot="1" x14ac:dyDescent="0.25">
      <c r="A36" s="307"/>
      <c r="B36" s="258">
        <v>2026</v>
      </c>
      <c r="C36" s="157">
        <v>5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36"/>
      <c r="P36" s="3"/>
    </row>
    <row r="37" spans="1:16" ht="19.5" customHeight="1" thickBot="1" x14ac:dyDescent="0.25">
      <c r="A37" s="307"/>
      <c r="B37" s="258">
        <v>2026</v>
      </c>
      <c r="C37" s="157">
        <v>5</v>
      </c>
      <c r="D37" s="166">
        <v>801</v>
      </c>
      <c r="E37" s="167"/>
      <c r="F37" s="285"/>
      <c r="G37" s="168"/>
      <c r="H37" s="169"/>
      <c r="I37" s="170"/>
      <c r="J37" s="170"/>
      <c r="K37" s="170"/>
      <c r="L37" s="171"/>
      <c r="M37" s="172"/>
      <c r="N37" s="173"/>
      <c r="O37" s="336"/>
      <c r="P37" s="3"/>
    </row>
    <row r="38" spans="1:16" ht="19.5" customHeight="1" thickBot="1" x14ac:dyDescent="0.25">
      <c r="A38" s="307"/>
      <c r="B38" s="259">
        <v>2026</v>
      </c>
      <c r="C38" s="174">
        <v>5</v>
      </c>
      <c r="D38" s="175">
        <v>804</v>
      </c>
      <c r="E38" s="176"/>
      <c r="F38" s="286"/>
      <c r="G38" s="177"/>
      <c r="H38" s="178"/>
      <c r="I38" s="179"/>
      <c r="J38" s="179"/>
      <c r="K38" s="179"/>
      <c r="L38" s="180"/>
      <c r="M38" s="181"/>
      <c r="N38" s="182"/>
      <c r="O38" s="336"/>
      <c r="P38" s="3"/>
    </row>
    <row r="39" spans="1:16" ht="19.5" customHeight="1" x14ac:dyDescent="0.2">
      <c r="A39" s="307"/>
      <c r="B39" s="256">
        <v>2026</v>
      </c>
      <c r="C39" s="183">
        <v>5</v>
      </c>
      <c r="D39" s="184">
        <v>703</v>
      </c>
      <c r="E39" s="185"/>
      <c r="F39" s="287"/>
      <c r="G39" s="186"/>
      <c r="H39" s="187"/>
      <c r="I39" s="188"/>
      <c r="J39" s="189"/>
      <c r="K39" s="189"/>
      <c r="L39" s="190"/>
      <c r="M39" s="191"/>
      <c r="N39" s="192"/>
      <c r="O39" s="340" t="s">
        <v>7</v>
      </c>
      <c r="P39" s="3"/>
    </row>
    <row r="40" spans="1:16" ht="19.5" customHeight="1" x14ac:dyDescent="0.2">
      <c r="A40" s="307"/>
      <c r="B40" s="254">
        <v>2026</v>
      </c>
      <c r="C40" s="193">
        <v>5</v>
      </c>
      <c r="D40" s="194">
        <v>704</v>
      </c>
      <c r="E40" s="195"/>
      <c r="F40" s="288"/>
      <c r="G40" s="196"/>
      <c r="H40" s="188"/>
      <c r="I40" s="188"/>
      <c r="J40" s="197"/>
      <c r="K40" s="197"/>
      <c r="L40" s="198"/>
      <c r="M40" s="199"/>
      <c r="N40" s="200"/>
      <c r="O40" s="341"/>
      <c r="P40" s="3"/>
    </row>
    <row r="41" spans="1:16" ht="19.5" customHeight="1" x14ac:dyDescent="0.2">
      <c r="A41" s="307"/>
      <c r="B41" s="254">
        <v>2026</v>
      </c>
      <c r="C41" s="193">
        <v>5</v>
      </c>
      <c r="D41" s="194">
        <v>705</v>
      </c>
      <c r="E41" s="195"/>
      <c r="F41" s="288"/>
      <c r="G41" s="196"/>
      <c r="H41" s="188"/>
      <c r="I41" s="188"/>
      <c r="J41" s="197"/>
      <c r="K41" s="197"/>
      <c r="L41" s="198"/>
      <c r="M41" s="199"/>
      <c r="N41" s="200"/>
      <c r="O41" s="341"/>
      <c r="P41" s="3"/>
    </row>
    <row r="42" spans="1:16" ht="19.5" customHeight="1" x14ac:dyDescent="0.2">
      <c r="A42" s="307"/>
      <c r="B42" s="254">
        <v>2026</v>
      </c>
      <c r="C42" s="193">
        <v>5</v>
      </c>
      <c r="D42" s="194">
        <v>706</v>
      </c>
      <c r="E42" s="195"/>
      <c r="F42" s="288"/>
      <c r="G42" s="196"/>
      <c r="H42" s="188"/>
      <c r="I42" s="188"/>
      <c r="J42" s="197"/>
      <c r="K42" s="197"/>
      <c r="L42" s="198"/>
      <c r="M42" s="199"/>
      <c r="N42" s="200"/>
      <c r="O42" s="341"/>
      <c r="P42" s="3"/>
    </row>
    <row r="43" spans="1:16" ht="19.5" customHeight="1" x14ac:dyDescent="0.2">
      <c r="A43" s="307"/>
      <c r="B43" s="254">
        <v>2026</v>
      </c>
      <c r="C43" s="193">
        <v>5</v>
      </c>
      <c r="D43" s="194">
        <v>707</v>
      </c>
      <c r="E43" s="195"/>
      <c r="F43" s="288"/>
      <c r="G43" s="196"/>
      <c r="H43" s="188"/>
      <c r="I43" s="188"/>
      <c r="J43" s="197"/>
      <c r="K43" s="197"/>
      <c r="L43" s="198"/>
      <c r="M43" s="199"/>
      <c r="N43" s="200"/>
      <c r="O43" s="341"/>
      <c r="P43" s="3"/>
    </row>
    <row r="44" spans="1:16" ht="19.5" customHeight="1" x14ac:dyDescent="0.2">
      <c r="A44" s="307"/>
      <c r="B44" s="254">
        <v>2026</v>
      </c>
      <c r="C44" s="193">
        <v>5</v>
      </c>
      <c r="D44" s="194">
        <v>711</v>
      </c>
      <c r="E44" s="195"/>
      <c r="F44" s="288"/>
      <c r="G44" s="196"/>
      <c r="H44" s="188"/>
      <c r="I44" s="188"/>
      <c r="J44" s="197"/>
      <c r="K44" s="197"/>
      <c r="L44" s="198"/>
      <c r="M44" s="199"/>
      <c r="N44" s="200"/>
      <c r="O44" s="341"/>
      <c r="P44" s="3"/>
    </row>
    <row r="45" spans="1:16" ht="19.5" customHeight="1" x14ac:dyDescent="0.2">
      <c r="A45" s="307"/>
      <c r="B45" s="201">
        <v>2026</v>
      </c>
      <c r="C45" s="201">
        <v>5</v>
      </c>
      <c r="D45" s="202">
        <v>716</v>
      </c>
      <c r="E45" s="203"/>
      <c r="F45" s="289"/>
      <c r="G45" s="204"/>
      <c r="H45" s="205"/>
      <c r="I45" s="206"/>
      <c r="J45" s="204"/>
      <c r="K45" s="204"/>
      <c r="L45" s="207"/>
      <c r="M45" s="208"/>
      <c r="N45" s="209"/>
      <c r="O45" s="341"/>
      <c r="P45" s="3"/>
    </row>
    <row r="46" spans="1:16" ht="19.5" customHeight="1" x14ac:dyDescent="0.2">
      <c r="A46" s="307"/>
      <c r="B46" s="254">
        <v>2026</v>
      </c>
      <c r="C46" s="193">
        <v>5</v>
      </c>
      <c r="D46" s="194">
        <v>718</v>
      </c>
      <c r="E46" s="195"/>
      <c r="F46" s="288"/>
      <c r="G46" s="196"/>
      <c r="H46" s="188"/>
      <c r="I46" s="188"/>
      <c r="J46" s="196"/>
      <c r="K46" s="197"/>
      <c r="L46" s="210"/>
      <c r="M46" s="211"/>
      <c r="N46" s="212"/>
      <c r="O46" s="341"/>
      <c r="P46" s="3"/>
    </row>
    <row r="47" spans="1:16" ht="19.5" customHeight="1" x14ac:dyDescent="0.2">
      <c r="A47" s="307"/>
      <c r="B47" s="254">
        <v>2026</v>
      </c>
      <c r="C47" s="193">
        <v>5</v>
      </c>
      <c r="D47" s="194">
        <v>719</v>
      </c>
      <c r="E47" s="195"/>
      <c r="F47" s="288"/>
      <c r="G47" s="196"/>
      <c r="H47" s="188"/>
      <c r="I47" s="188"/>
      <c r="J47" s="197"/>
      <c r="K47" s="197"/>
      <c r="L47" s="198"/>
      <c r="M47" s="199"/>
      <c r="N47" s="200"/>
      <c r="O47" s="341"/>
      <c r="P47" s="3"/>
    </row>
    <row r="48" spans="1:16" ht="19.5" customHeight="1" x14ac:dyDescent="0.2">
      <c r="A48" s="307"/>
      <c r="B48" s="254">
        <v>2026</v>
      </c>
      <c r="C48" s="193">
        <v>5</v>
      </c>
      <c r="D48" s="194">
        <v>720</v>
      </c>
      <c r="E48" s="195"/>
      <c r="F48" s="288"/>
      <c r="G48" s="196"/>
      <c r="H48" s="188"/>
      <c r="I48" s="188"/>
      <c r="J48" s="197"/>
      <c r="K48" s="197"/>
      <c r="L48" s="198"/>
      <c r="M48" s="199"/>
      <c r="N48" s="200"/>
      <c r="O48" s="341"/>
      <c r="P48" s="3"/>
    </row>
    <row r="49" spans="1:16" ht="19.5" customHeight="1" x14ac:dyDescent="0.2">
      <c r="A49" s="307"/>
      <c r="B49" s="254">
        <v>2026</v>
      </c>
      <c r="C49" s="193">
        <v>5</v>
      </c>
      <c r="D49" s="194">
        <v>723</v>
      </c>
      <c r="E49" s="195"/>
      <c r="F49" s="288"/>
      <c r="G49" s="196"/>
      <c r="H49" s="188"/>
      <c r="I49" s="188"/>
      <c r="J49" s="196"/>
      <c r="K49" s="197"/>
      <c r="L49" s="210"/>
      <c r="M49" s="211"/>
      <c r="N49" s="212"/>
      <c r="O49" s="341"/>
      <c r="P49" s="3"/>
    </row>
    <row r="50" spans="1:16" ht="19.5" customHeight="1" x14ac:dyDescent="0.2">
      <c r="A50" s="307"/>
      <c r="B50" s="254">
        <v>2026</v>
      </c>
      <c r="C50" s="193">
        <v>5</v>
      </c>
      <c r="D50" s="194">
        <v>724</v>
      </c>
      <c r="E50" s="195"/>
      <c r="F50" s="288"/>
      <c r="G50" s="196"/>
      <c r="H50" s="188"/>
      <c r="I50" s="188"/>
      <c r="J50" s="197"/>
      <c r="K50" s="197"/>
      <c r="L50" s="198"/>
      <c r="M50" s="199"/>
      <c r="N50" s="200"/>
      <c r="O50" s="341"/>
      <c r="P50" s="3"/>
    </row>
    <row r="51" spans="1:16" ht="19.5" customHeight="1" thickBot="1" x14ac:dyDescent="0.25">
      <c r="A51" s="307"/>
      <c r="B51" s="255">
        <v>2026</v>
      </c>
      <c r="C51" s="251">
        <v>5</v>
      </c>
      <c r="D51" s="213">
        <v>726</v>
      </c>
      <c r="E51" s="214"/>
      <c r="F51" s="290"/>
      <c r="G51" s="215"/>
      <c r="H51" s="216"/>
      <c r="I51" s="188"/>
      <c r="J51" s="217"/>
      <c r="K51" s="217"/>
      <c r="L51" s="218"/>
      <c r="M51" s="219"/>
      <c r="N51" s="220"/>
      <c r="O51" s="342"/>
      <c r="P51" s="3"/>
    </row>
    <row r="52" spans="1:16" ht="19.5" customHeight="1" thickBot="1" x14ac:dyDescent="0.25">
      <c r="A52" s="307"/>
      <c r="B52" s="252">
        <v>2026</v>
      </c>
      <c r="C52" s="28">
        <v>5</v>
      </c>
      <c r="D52" s="29">
        <v>809</v>
      </c>
      <c r="E52" s="26">
        <v>46153</v>
      </c>
      <c r="F52" s="291">
        <v>7.4</v>
      </c>
      <c r="G52" s="27">
        <v>130</v>
      </c>
      <c r="H52" s="28">
        <v>3</v>
      </c>
      <c r="I52" s="29" t="s">
        <v>30</v>
      </c>
      <c r="J52" s="30"/>
      <c r="K52" s="30"/>
      <c r="L52" s="31"/>
      <c r="M52" s="32"/>
      <c r="N52" s="33"/>
      <c r="O52" s="337" t="s">
        <v>8</v>
      </c>
      <c r="P52" s="3"/>
    </row>
    <row r="53" spans="1:16" ht="19.5" customHeight="1" thickBot="1" x14ac:dyDescent="0.25">
      <c r="A53" s="307"/>
      <c r="B53" s="250">
        <v>2026</v>
      </c>
      <c r="C53" s="36">
        <v>5</v>
      </c>
      <c r="D53" s="37">
        <v>812</v>
      </c>
      <c r="E53" s="34">
        <v>46153</v>
      </c>
      <c r="F53" s="292">
        <v>3</v>
      </c>
      <c r="G53" s="35">
        <v>111</v>
      </c>
      <c r="H53" s="36">
        <v>3</v>
      </c>
      <c r="I53" s="37" t="s">
        <v>30</v>
      </c>
      <c r="J53" s="38"/>
      <c r="K53" s="38"/>
      <c r="L53" s="39"/>
      <c r="M53" s="40"/>
      <c r="N53" s="41"/>
      <c r="O53" s="337"/>
      <c r="P53" s="3"/>
    </row>
    <row r="54" spans="1:16" ht="19.5" customHeight="1" thickBot="1" x14ac:dyDescent="0.25">
      <c r="A54" s="307"/>
      <c r="B54" s="249">
        <v>2026</v>
      </c>
      <c r="C54" s="44">
        <v>5</v>
      </c>
      <c r="D54" s="58">
        <v>815</v>
      </c>
      <c r="E54" s="42"/>
      <c r="F54" s="293"/>
      <c r="G54" s="43"/>
      <c r="H54" s="44"/>
      <c r="I54" s="45"/>
      <c r="J54" s="46"/>
      <c r="K54" s="46"/>
      <c r="L54" s="47"/>
      <c r="M54" s="48"/>
      <c r="N54" s="49"/>
      <c r="O54" s="337"/>
      <c r="P54" s="3"/>
    </row>
    <row r="55" spans="1:16" ht="19.5" customHeight="1" thickBot="1" x14ac:dyDescent="0.25">
      <c r="A55" s="307"/>
      <c r="B55" s="249">
        <v>2026</v>
      </c>
      <c r="C55" s="44">
        <v>5</v>
      </c>
      <c r="D55" s="58">
        <v>901</v>
      </c>
      <c r="E55" s="50"/>
      <c r="F55" s="294"/>
      <c r="G55" s="43"/>
      <c r="H55" s="44"/>
      <c r="I55" s="45"/>
      <c r="J55" s="46"/>
      <c r="K55" s="46"/>
      <c r="L55" s="47"/>
      <c r="M55" s="48"/>
      <c r="N55" s="49"/>
      <c r="O55" s="337"/>
      <c r="P55" s="3"/>
    </row>
    <row r="56" spans="1:16" ht="19.5" customHeight="1" thickBot="1" x14ac:dyDescent="0.25">
      <c r="A56" s="307"/>
      <c r="B56" s="249">
        <v>2026</v>
      </c>
      <c r="C56" s="44">
        <v>5</v>
      </c>
      <c r="D56" s="58">
        <v>902</v>
      </c>
      <c r="E56" s="50"/>
      <c r="F56" s="294"/>
      <c r="G56" s="43"/>
      <c r="H56" s="44"/>
      <c r="I56" s="45"/>
      <c r="J56" s="46"/>
      <c r="K56" s="46"/>
      <c r="L56" s="47"/>
      <c r="M56" s="48"/>
      <c r="N56" s="49"/>
      <c r="O56" s="337"/>
      <c r="P56" s="3"/>
    </row>
    <row r="57" spans="1:16" ht="19.5" customHeight="1" thickBot="1" x14ac:dyDescent="0.25">
      <c r="A57" s="307"/>
      <c r="B57" s="249">
        <v>2026</v>
      </c>
      <c r="C57" s="44">
        <v>5</v>
      </c>
      <c r="D57" s="58">
        <v>906</v>
      </c>
      <c r="E57" s="50"/>
      <c r="F57" s="294"/>
      <c r="G57" s="43"/>
      <c r="H57" s="44"/>
      <c r="I57" s="45"/>
      <c r="J57" s="46"/>
      <c r="K57" s="46"/>
      <c r="L57" s="47"/>
      <c r="M57" s="48"/>
      <c r="N57" s="49"/>
      <c r="O57" s="337"/>
      <c r="P57" s="3"/>
    </row>
    <row r="58" spans="1:16" ht="19.5" customHeight="1" thickBot="1" x14ac:dyDescent="0.25">
      <c r="A58" s="307"/>
      <c r="B58" s="249">
        <v>2026</v>
      </c>
      <c r="C58" s="44">
        <v>5</v>
      </c>
      <c r="D58" s="58">
        <v>910</v>
      </c>
      <c r="E58" s="50"/>
      <c r="F58" s="294"/>
      <c r="G58" s="43"/>
      <c r="H58" s="44"/>
      <c r="I58" s="45"/>
      <c r="J58" s="46"/>
      <c r="K58" s="46"/>
      <c r="L58" s="47"/>
      <c r="M58" s="48"/>
      <c r="N58" s="49"/>
      <c r="O58" s="337"/>
      <c r="P58" s="3"/>
    </row>
    <row r="59" spans="1:16" ht="19.5" customHeight="1" thickBot="1" x14ac:dyDescent="0.25">
      <c r="A59" s="319"/>
      <c r="B59" s="249">
        <v>2026</v>
      </c>
      <c r="C59" s="44">
        <v>5</v>
      </c>
      <c r="D59" s="58">
        <v>912</v>
      </c>
      <c r="E59" s="50"/>
      <c r="F59" s="294"/>
      <c r="G59" s="43"/>
      <c r="H59" s="44"/>
      <c r="I59" s="45"/>
      <c r="J59" s="46"/>
      <c r="K59" s="46"/>
      <c r="L59" s="47"/>
      <c r="M59" s="48"/>
      <c r="N59" s="49"/>
      <c r="O59" s="337"/>
      <c r="P59" s="3"/>
    </row>
    <row r="60" spans="1:16" ht="19.5" customHeight="1" thickBot="1" x14ac:dyDescent="0.25">
      <c r="A60" s="320"/>
      <c r="B60" s="249">
        <v>2026</v>
      </c>
      <c r="C60" s="44">
        <v>5</v>
      </c>
      <c r="D60" s="58">
        <v>914</v>
      </c>
      <c r="E60" s="50"/>
      <c r="F60" s="294"/>
      <c r="G60" s="43"/>
      <c r="H60" s="44"/>
      <c r="I60" s="45"/>
      <c r="J60" s="46"/>
      <c r="K60" s="46"/>
      <c r="L60" s="47"/>
      <c r="M60" s="48"/>
      <c r="N60" s="49"/>
      <c r="O60" s="337"/>
      <c r="P60" s="3"/>
    </row>
    <row r="61" spans="1:16" ht="19.5" customHeight="1" thickBot="1" x14ac:dyDescent="0.25">
      <c r="A61" s="321"/>
      <c r="B61" s="249">
        <v>2026</v>
      </c>
      <c r="C61" s="44">
        <v>5</v>
      </c>
      <c r="D61" s="58">
        <v>915</v>
      </c>
      <c r="E61" s="50"/>
      <c r="F61" s="294"/>
      <c r="G61" s="43"/>
      <c r="H61" s="44"/>
      <c r="I61" s="45"/>
      <c r="J61" s="46"/>
      <c r="K61" s="46"/>
      <c r="L61" s="47"/>
      <c r="M61" s="48"/>
      <c r="N61" s="49"/>
      <c r="O61" s="337"/>
      <c r="P61" s="3"/>
    </row>
    <row r="62" spans="1:16" ht="19.5" customHeight="1" thickBot="1" x14ac:dyDescent="0.25">
      <c r="A62" s="226"/>
      <c r="B62" s="260">
        <v>2026</v>
      </c>
      <c r="C62" s="261">
        <v>5</v>
      </c>
      <c r="D62" s="262">
        <v>918</v>
      </c>
      <c r="E62" s="263"/>
      <c r="F62" s="295"/>
      <c r="G62" s="264"/>
      <c r="H62" s="261"/>
      <c r="I62" s="265"/>
      <c r="J62" s="266"/>
      <c r="K62" s="266"/>
      <c r="L62" s="267"/>
      <c r="M62" s="268"/>
      <c r="N62" s="269"/>
      <c r="O62" s="337"/>
      <c r="P62" s="3"/>
    </row>
    <row r="63" spans="1:16" ht="19.5" customHeight="1" thickBot="1" x14ac:dyDescent="0.25">
      <c r="A63" s="224"/>
      <c r="B63" s="253">
        <v>2026</v>
      </c>
      <c r="C63" s="53">
        <v>5</v>
      </c>
      <c r="D63" s="59">
        <v>919</v>
      </c>
      <c r="E63" s="51"/>
      <c r="F63" s="296"/>
      <c r="G63" s="52"/>
      <c r="H63" s="53"/>
      <c r="I63" s="45"/>
      <c r="J63" s="54"/>
      <c r="K63" s="54"/>
      <c r="L63" s="55"/>
      <c r="M63" s="56"/>
      <c r="N63" s="57"/>
      <c r="O63" s="337"/>
      <c r="P63" s="6"/>
    </row>
    <row r="64" spans="1:16" ht="19.5" customHeight="1" x14ac:dyDescent="0.2">
      <c r="A64" s="224"/>
      <c r="B64" s="221" t="s">
        <v>36</v>
      </c>
      <c r="C64" s="222"/>
      <c r="D64" s="222"/>
      <c r="E64" s="222"/>
      <c r="F64" s="222"/>
      <c r="G64" s="222"/>
      <c r="H64" s="222"/>
      <c r="I64" s="223"/>
      <c r="J64" s="222"/>
      <c r="K64" s="222"/>
      <c r="L64" s="222"/>
      <c r="M64" s="222"/>
      <c r="N64" s="235"/>
      <c r="O64" s="25"/>
      <c r="P64" s="5"/>
    </row>
    <row r="65" spans="1:16" ht="19.5" customHeight="1" x14ac:dyDescent="0.2">
      <c r="A65" s="224"/>
      <c r="B65" s="221" t="s">
        <v>37</v>
      </c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36"/>
      <c r="O65" s="329"/>
      <c r="P65" s="11"/>
    </row>
    <row r="66" spans="1:16" ht="19.5" customHeight="1" x14ac:dyDescent="0.2">
      <c r="A66" s="224"/>
      <c r="B66" s="221" t="s">
        <v>38</v>
      </c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36"/>
      <c r="O66" s="25"/>
      <c r="P66" s="17"/>
    </row>
    <row r="67" spans="1:16" ht="19.5" customHeight="1" x14ac:dyDescent="0.2">
      <c r="A67" s="224"/>
      <c r="B67" s="227" t="s">
        <v>47</v>
      </c>
      <c r="C67" s="24"/>
      <c r="D67" s="24"/>
      <c r="E67" s="224"/>
      <c r="F67" s="224"/>
      <c r="G67" s="224"/>
      <c r="H67" s="224"/>
      <c r="I67" s="24"/>
      <c r="J67" s="24"/>
      <c r="K67" s="24"/>
      <c r="L67" s="24"/>
      <c r="M67" s="24"/>
      <c r="N67" s="237"/>
      <c r="O67" s="330"/>
      <c r="P67" s="8"/>
    </row>
    <row r="68" spans="1:16" ht="15" customHeight="1" x14ac:dyDescent="0.2">
      <c r="A68" s="14"/>
      <c r="B68" s="14"/>
      <c r="C68" s="14"/>
      <c r="D68" s="14"/>
      <c r="E68" s="14"/>
      <c r="F68" s="14"/>
      <c r="G68" s="14"/>
      <c r="H68" s="16"/>
      <c r="I68" s="15"/>
      <c r="J68" s="331"/>
      <c r="K68" s="332"/>
      <c r="L68" s="16"/>
      <c r="M68" s="19"/>
      <c r="N68" s="238"/>
      <c r="O68" s="333"/>
    </row>
    <row r="69" spans="1:16" ht="15" customHeight="1" x14ac:dyDescent="0.2">
      <c r="H69" s="20"/>
      <c r="O69" s="14"/>
      <c r="P69" s="14"/>
    </row>
    <row r="70" spans="1:16" ht="15" customHeight="1" x14ac:dyDescent="0.2">
      <c r="G70" s="18"/>
      <c r="P70" s="14"/>
    </row>
    <row r="71" spans="1:16" ht="15" customHeight="1" x14ac:dyDescent="0.2">
      <c r="I71" s="10" t="s">
        <v>13</v>
      </c>
      <c r="P71" s="14"/>
    </row>
    <row r="72" spans="1:16" ht="15" customHeight="1" x14ac:dyDescent="0.2">
      <c r="I72" s="10" t="s">
        <v>14</v>
      </c>
      <c r="J72" s="4">
        <v>6</v>
      </c>
      <c r="P72" s="14"/>
    </row>
    <row r="73" spans="1:16" ht="15" customHeight="1" x14ac:dyDescent="0.2">
      <c r="I73" s="10" t="s">
        <v>15</v>
      </c>
      <c r="J73" s="13" t="e">
        <f>J72/J71</f>
        <v>#DIV/0!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N75" s="4"/>
    </row>
    <row r="76" spans="1:16" x14ac:dyDescent="0.2">
      <c r="I76" s="248" t="s">
        <v>18</v>
      </c>
      <c r="J76" s="18">
        <f>SUM(J16:J21)</f>
        <v>0</v>
      </c>
      <c r="N76" s="4"/>
    </row>
    <row r="77" spans="1:16" x14ac:dyDescent="0.2">
      <c r="I77" s="248" t="s">
        <v>21</v>
      </c>
      <c r="J77" s="18">
        <f>SUM(J22:J24)</f>
        <v>0</v>
      </c>
      <c r="N77" s="4"/>
    </row>
    <row r="78" spans="1:16" x14ac:dyDescent="0.2">
      <c r="I78" s="248" t="s">
        <v>22</v>
      </c>
      <c r="J78" s="18">
        <f>SUM(J25:J33)</f>
        <v>0</v>
      </c>
      <c r="N78" s="4"/>
    </row>
    <row r="79" spans="1:16" x14ac:dyDescent="0.2">
      <c r="I79" s="248" t="s">
        <v>6</v>
      </c>
      <c r="J79" s="18">
        <f>SUM(J34:J38)</f>
        <v>0</v>
      </c>
      <c r="N79" s="4"/>
    </row>
    <row r="80" spans="1:16" x14ac:dyDescent="0.2">
      <c r="I80" s="248" t="s">
        <v>23</v>
      </c>
      <c r="J80" s="18">
        <f>SUM(J39:J51)</f>
        <v>0</v>
      </c>
      <c r="N80" s="4"/>
    </row>
    <row r="81" spans="9:14" x14ac:dyDescent="0.2">
      <c r="I81" s="248" t="s">
        <v>27</v>
      </c>
      <c r="J81" s="18">
        <f>SUM(J52:J53)</f>
        <v>0</v>
      </c>
      <c r="N81" s="4"/>
    </row>
    <row r="82" spans="9:14" x14ac:dyDescent="0.2">
      <c r="I82" s="248" t="s">
        <v>24</v>
      </c>
      <c r="J82" s="18">
        <f>SUM(J54:J63)</f>
        <v>0</v>
      </c>
      <c r="N82" s="4"/>
    </row>
    <row r="83" spans="9:14" x14ac:dyDescent="0.2">
      <c r="J83" s="18">
        <f>SUM(J75:J82)</f>
        <v>0</v>
      </c>
      <c r="N83" s="4"/>
    </row>
    <row r="84" spans="9:14" x14ac:dyDescent="0.2">
      <c r="N84" s="4"/>
    </row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I3:I63" xr:uid="{CFB2AF41-D468-4F5B-B54E-2FF740158910}">
      <formula1>"Not Processed, No Smelt Catch, Not Sampled, Longfin Smelt, Delta Smelt"</formula1>
    </dataValidation>
    <dataValidation type="list" allowBlank="1" showInputMessage="1" showErrorMessage="1" sqref="K3:K63" xr:uid="{72DF5DF6-D341-4F79-A3CD-F8593D74642C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749D-BFA7-4DBF-8E96-A05CB19553F6}">
  <dimension ref="A1:K2"/>
  <sheetViews>
    <sheetView workbookViewId="0">
      <selection activeCell="I38" sqref="I38"/>
    </sheetView>
  </sheetViews>
  <sheetFormatPr defaultRowHeight="12.75" x14ac:dyDescent="0.2"/>
  <cols>
    <col min="1" max="16384" width="9.140625" style="298"/>
  </cols>
  <sheetData>
    <row r="1" spans="1:11" x14ac:dyDescent="0.2">
      <c r="A1" s="343" t="s">
        <v>33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</row>
    <row r="2" spans="1:11" x14ac:dyDescent="0.2">
      <c r="A2" s="344"/>
      <c r="B2" s="344"/>
      <c r="C2" s="344"/>
      <c r="D2" s="344"/>
      <c r="E2" s="344"/>
      <c r="F2" s="344"/>
      <c r="G2" s="344"/>
      <c r="H2" s="344"/>
      <c r="I2" s="344"/>
      <c r="J2" s="344"/>
      <c r="K2" s="344"/>
    </row>
  </sheetData>
  <mergeCells count="1">
    <mergeCell ref="A1:K2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Survey 1</vt:lpstr>
      <vt:lpstr>Survey 2</vt:lpstr>
      <vt:lpstr>Survey 3</vt:lpstr>
      <vt:lpstr>Survey 4</vt:lpstr>
      <vt:lpstr>Survey 5</vt:lpstr>
      <vt:lpstr>20-mm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Adib-Samii, Julio@Wildlife</dc:creator>
  <cp:lastModifiedBy>OcegueraZavala, Jennifer@Wildlife</cp:lastModifiedBy>
  <cp:lastPrinted>2024-05-30T00:07:14Z</cp:lastPrinted>
  <dcterms:created xsi:type="dcterms:W3CDTF">2010-03-26T20:15:02Z</dcterms:created>
  <dcterms:modified xsi:type="dcterms:W3CDTF">2026-05-12T16:41:15Z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General</vt:lpwstr>
  </property>
</Properties>
</file>