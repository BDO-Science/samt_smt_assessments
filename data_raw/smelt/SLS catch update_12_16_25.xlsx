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6\"/>
    </mc:Choice>
  </mc:AlternateContent>
  <xr:revisionPtr revIDLastSave="0" documentId="13_ncr:1_{AE0DB62A-9F95-4DC9-9A99-7D7E71C9CCFF}" xr6:coauthVersionLast="47" xr6:coauthVersionMax="47" xr10:uidLastSave="{00000000-0000-0000-0000-000000000000}"/>
  <bookViews>
    <workbookView xWindow="-120" yWindow="-120" windowWidth="29040" windowHeight="15720" xr2:uid="{E318DA66-929E-4160-AE8F-A3EAE62CC340}"/>
  </bookViews>
  <sheets>
    <sheet name="Survey 12" sheetId="18" r:id="rId1"/>
    <sheet name="Survey 13" sheetId="19" r:id="rId2"/>
    <sheet name="SLS Map" sheetId="1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9" l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B3" i="18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A3" i="18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</calcChain>
</file>

<file path=xl/sharedStrings.xml><?xml version="1.0" encoding="utf-8"?>
<sst xmlns="http://schemas.openxmlformats.org/spreadsheetml/2006/main" count="269" uniqueCount="22">
  <si>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</si>
  <si>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</si>
  <si>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</si>
  <si>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</si>
  <si>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</si>
  <si>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</si>
  <si>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</si>
  <si>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</si>
  <si>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</si>
  <si>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</si>
  <si>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</si>
  <si>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</si>
  <si>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</si>
  <si>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 xml:space="preserve">SWP ITP </t>
  </si>
  <si>
    <t>Processed</t>
  </si>
  <si>
    <t>No Smelt Catch</t>
  </si>
  <si>
    <t>Completed</t>
  </si>
  <si>
    <t>CDFW’s 2026 Smelt Larva Survey station locations.</t>
  </si>
  <si>
    <t>Turbidity (FNU)</t>
  </si>
  <si>
    <t>Processing is complete through 12/8/2025</t>
  </si>
  <si>
    <t>Not Processed</t>
  </si>
  <si>
    <t xml:space="preserve">Processing is complete through 12/16/25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</si>
</sst>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20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5" borderId="0" xfId="0" applyFill="1"/>
    <xf numFmtId="0" fontId="1" fillId="5" borderId="2" xfId="1" applyFill="1" applyBorder="1"/>
    <xf numFmtId="14" fontId="1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/>
    </xf>
    <xf numFmtId="0" fontId="3" fillId="5" borderId="0" xfId="0" applyFont="1" applyFill="1"/>
    <xf numFmtId="14" fontId="2" fillId="5" borderId="0" xfId="0" applyNumberFormat="1" applyFont="1" applyFill="1"/>
    <xf numFmtId="0" fontId="2" fillId="0" borderId="0" xfId="0" applyFont="1"/>
    <xf numFmtId="1" fontId="4" fillId="0" borderId="7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0" fontId="1" fillId="5" borderId="0" xfId="1" applyFill="1" applyAlignment="1">
      <alignment horizontal="center"/>
    </xf>
    <xf numFmtId="14" fontId="1" fillId="5" borderId="0" xfId="1" applyNumberFormat="1" applyFill="1" applyAlignment="1">
      <alignment horizontal="center"/>
    </xf>
    <xf numFmtId="164" fontId="1" fillId="0" borderId="17" xfId="0" applyNumberFormat="1" applyFont="1" applyBorder="1" applyAlignment="1">
      <alignment horizontal="center" vertical="center" wrapText="1"/>
    </xf>
    <xf numFmtId="164" fontId="1" fillId="3" borderId="17" xfId="0" applyNumberFormat="1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3" borderId="8" xfId="0" applyNumberFormat="1" applyFont="1" applyFill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5" borderId="0" xfId="0" applyFont="1" applyFill="1"/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1" fillId="5" borderId="0" xfId="1" applyNumberFormat="1" applyFill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 wrapText="1"/>
    </xf>
    <xf numFmtId="14" fontId="1" fillId="2" borderId="14" xfId="1" applyNumberForma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/>
    </xf>
    <xf numFmtId="164" fontId="1" fillId="2" borderId="20" xfId="1" applyNumberFormat="1" applyFill="1" applyBorder="1" applyAlignment="1">
      <alignment horizontal="center" vertical="center" wrapText="1"/>
    </xf>
    <xf numFmtId="0" fontId="1" fillId="2" borderId="21" xfId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2" fillId="2" borderId="19" xfId="1" applyFont="1" applyFill="1" applyBorder="1" applyAlignment="1">
      <alignment horizontal="center" vertical="center" wrapText="1"/>
    </xf>
    <xf numFmtId="164" fontId="2" fillId="5" borderId="0" xfId="0" applyNumberFormat="1" applyFont="1" applyFill="1"/>
    <xf numFmtId="14" fontId="2" fillId="0" borderId="0" xfId="0" applyNumberFormat="1" applyFont="1"/>
    <xf numFmtId="16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6" xfId="0" applyBorder="1"/>
    <xf numFmtId="0" fontId="1" fillId="5" borderId="12" xfId="1" applyFill="1" applyBorder="1" applyAlignment="1">
      <alignment horizontal="left"/>
    </xf>
    <xf numFmtId="0" fontId="1" fillId="5" borderId="12" xfId="1" applyFill="1" applyBorder="1" applyAlignment="1">
      <alignment horizontal="center"/>
    </xf>
    <xf numFmtId="0" fontId="1" fillId="5" borderId="5" xfId="1" applyFill="1" applyBorder="1" applyAlignment="1">
      <alignment horizontal="center"/>
    </xf>
    <xf numFmtId="0" fontId="1" fillId="5" borderId="6" xfId="1" applyFill="1" applyBorder="1" applyAlignment="1">
      <alignment horizontal="center"/>
    </xf>
    <xf numFmtId="164" fontId="1" fillId="5" borderId="6" xfId="1" applyNumberForma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5" borderId="25" xfId="1" applyNumberFormat="1" applyFill="1" applyBorder="1" applyAlignment="1">
      <alignment horizontal="center"/>
    </xf>
    <xf numFmtId="1" fontId="1" fillId="5" borderId="26" xfId="1" applyNumberFormat="1" applyFill="1" applyBorder="1" applyAlignment="1">
      <alignment horizontal="center"/>
    </xf>
    <xf numFmtId="1" fontId="2" fillId="0" borderId="0" xfId="0" applyNumberFormat="1" applyFont="1"/>
    <xf numFmtId="0" fontId="6" fillId="0" borderId="0" xfId="0" applyFont="1" applyAlignment="1">
      <alignment horizontal="left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" fontId="8" fillId="0" borderId="0" xfId="0" applyNumberFormat="1" applyFont="1"/>
    <xf numFmtId="0" fontId="7" fillId="0" borderId="0" xfId="0" applyFont="1"/>
    <xf numFmtId="0" fontId="1" fillId="0" borderId="2" xfId="1" applyBorder="1"/>
    <xf numFmtId="0" fontId="1" fillId="4" borderId="23" xfId="1" applyFill="1" applyBorder="1" applyAlignment="1">
      <alignment horizontal="center" vertical="center" wrapText="1"/>
    </xf>
    <xf numFmtId="0" fontId="1" fillId="4" borderId="24" xfId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</cellXfs>
  <cellStyles count="2">
    <cellStyle name="Normal" xfId="0" builtinId="0"/>
    <cellStyle name="Normal_2010 SLS Survey 5 Smelt Catch as of 3-3" xfId="1" xr:uid="{266BAF3B-B141-4886-8C42-2102BE6AFE09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C4C033-C8CD-405B-957C-989162071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72389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0D4D-AF19-45C9-A5FB-AAF9969F6DAC}">
  <sheetPr>
    <pageSetUpPr fitToPage="1"/>
  </sheetPr>
  <dimension ref="A1:P75"/>
  <sheetViews>
    <sheetView tabSelected="1" zoomScaleNormal="100" workbookViewId="0">
      <pane ySplit="1" topLeftCell="A41" activePane="bottomLeft" state="frozen"/>
      <selection pane="bottomLeft" activeCell="J38" sqref="J38"/>
    </sheetView>
  </sheetViews>
  <sheetFormatPr defaultRowHeight="15" customHeight="1" x14ac:dyDescent="0.25"/>
  <cols>
    <col min="1" max="2" width="6.42578125" style="19" customWidth="1"/>
    <col min="3" max="3" width="6.85546875" style="19" customWidth="1"/>
    <col min="4" max="4" width="10.140625" style="56" customWidth="1"/>
    <col min="5" max="5" width="8.42578125" style="19" customWidth="1"/>
    <col min="6" max="6" width="6.5703125" style="19" customWidth="1"/>
    <col min="7" max="7" width="13.5703125" style="19" customWidth="1"/>
    <col min="8" max="8" width="14.5703125" style="19" customWidth="1"/>
    <col min="9" max="9" width="6.85546875" style="19" customWidth="1"/>
    <col min="10" max="10" width="10.42578125" style="52" customWidth="1"/>
    <col min="11" max="12" width="6.42578125" style="19" customWidth="1"/>
    <col min="13" max="13" width="6.42578125" style="57" customWidth="1"/>
    <col min="14" max="14" width="9.85546875" style="19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4" t="s">
        <v>0</v>
      </c>
      <c r="B1" s="43" t="s">
        <v>1</v>
      </c>
      <c r="C1" s="43" t="s">
        <v>2</v>
      </c>
      <c r="D1" s="44" t="s">
        <v>11</v>
      </c>
      <c r="E1" s="43" t="s">
        <v>18</v>
      </c>
      <c r="F1" s="43" t="s">
        <v>10</v>
      </c>
      <c r="G1" s="45" t="s">
        <v>3</v>
      </c>
      <c r="H1" s="43" t="s">
        <v>4</v>
      </c>
      <c r="I1" s="43" t="s">
        <v>5</v>
      </c>
      <c r="J1" s="43" t="s">
        <v>9</v>
      </c>
      <c r="K1" s="43" t="s">
        <v>6</v>
      </c>
      <c r="L1" s="43" t="s">
        <v>7</v>
      </c>
      <c r="M1" s="46" t="s">
        <v>8</v>
      </c>
      <c r="N1" s="47" t="s">
        <v>12</v>
      </c>
      <c r="O1" s="12"/>
      <c r="P1" s="11"/>
    </row>
    <row r="2" spans="1:16" ht="15" customHeight="1" thickBot="1" x14ac:dyDescent="0.3">
      <c r="A2" s="48">
        <v>2026</v>
      </c>
      <c r="B2" s="1">
        <v>12</v>
      </c>
      <c r="C2" s="6">
        <v>306</v>
      </c>
      <c r="D2" s="16">
        <v>45993</v>
      </c>
      <c r="E2" s="6">
        <v>6.5</v>
      </c>
      <c r="F2" s="9">
        <v>71</v>
      </c>
      <c r="G2" s="34" t="s">
        <v>14</v>
      </c>
      <c r="H2" s="5" t="s">
        <v>15</v>
      </c>
      <c r="I2" s="20"/>
      <c r="J2" s="5" t="s">
        <v>16</v>
      </c>
      <c r="K2" s="6"/>
      <c r="L2" s="6"/>
      <c r="M2" s="37"/>
      <c r="N2" s="31"/>
      <c r="O2" s="12"/>
      <c r="P2" s="11"/>
    </row>
    <row r="3" spans="1:16" ht="15" customHeight="1" thickBot="1" x14ac:dyDescent="0.3">
      <c r="A3" s="49">
        <f>A2</f>
        <v>2026</v>
      </c>
      <c r="B3" s="1">
        <f>B2</f>
        <v>12</v>
      </c>
      <c r="C3" s="5">
        <v>308</v>
      </c>
      <c r="D3" s="14">
        <v>45993</v>
      </c>
      <c r="E3" s="5">
        <v>13.4</v>
      </c>
      <c r="F3" s="10">
        <v>70</v>
      </c>
      <c r="G3" s="34" t="s">
        <v>14</v>
      </c>
      <c r="H3" s="5" t="s">
        <v>15</v>
      </c>
      <c r="I3" s="21"/>
      <c r="J3" s="5" t="s">
        <v>16</v>
      </c>
      <c r="K3" s="5"/>
      <c r="L3" s="5"/>
      <c r="M3" s="38"/>
      <c r="N3" s="28"/>
      <c r="O3" s="12"/>
      <c r="P3" s="11"/>
    </row>
    <row r="4" spans="1:16" ht="15" customHeight="1" thickBot="1" x14ac:dyDescent="0.3">
      <c r="A4" s="49">
        <f t="shared" ref="A4:B19" si="0">A3</f>
        <v>2026</v>
      </c>
      <c r="B4" s="1">
        <f>B3</f>
        <v>12</v>
      </c>
      <c r="C4" s="5">
        <v>311</v>
      </c>
      <c r="D4" s="14">
        <v>45993</v>
      </c>
      <c r="E4" s="5">
        <v>7.4</v>
      </c>
      <c r="F4" s="10">
        <v>80</v>
      </c>
      <c r="G4" s="34" t="s">
        <v>14</v>
      </c>
      <c r="H4" s="5" t="s">
        <v>15</v>
      </c>
      <c r="I4" s="21"/>
      <c r="J4" s="5" t="s">
        <v>16</v>
      </c>
      <c r="K4" s="5"/>
      <c r="L4" s="5"/>
      <c r="M4" s="38"/>
      <c r="N4" s="28"/>
      <c r="O4" s="12"/>
      <c r="P4" s="11"/>
    </row>
    <row r="5" spans="1:16" ht="15" customHeight="1" thickBot="1" x14ac:dyDescent="0.3">
      <c r="A5" s="49">
        <f t="shared" si="0"/>
        <v>2026</v>
      </c>
      <c r="B5" s="1">
        <f t="shared" si="0"/>
        <v>12</v>
      </c>
      <c r="C5" s="5">
        <v>315</v>
      </c>
      <c r="D5" s="16">
        <v>45993</v>
      </c>
      <c r="E5" s="6">
        <v>13.3</v>
      </c>
      <c r="F5" s="9">
        <v>47</v>
      </c>
      <c r="G5" s="34" t="s">
        <v>14</v>
      </c>
      <c r="H5" s="5" t="s">
        <v>15</v>
      </c>
      <c r="I5" s="20"/>
      <c r="J5" s="5" t="s">
        <v>16</v>
      </c>
      <c r="K5" s="6"/>
      <c r="L5" s="6"/>
      <c r="M5" s="39"/>
      <c r="N5" s="32"/>
      <c r="O5" s="12"/>
      <c r="P5" s="11"/>
    </row>
    <row r="6" spans="1:16" ht="15" customHeight="1" thickBot="1" x14ac:dyDescent="0.3">
      <c r="A6" s="49">
        <f t="shared" si="0"/>
        <v>2026</v>
      </c>
      <c r="B6" s="1">
        <f t="shared" si="0"/>
        <v>12</v>
      </c>
      <c r="C6" s="5">
        <v>322</v>
      </c>
      <c r="D6" s="14">
        <v>45993</v>
      </c>
      <c r="E6" s="5">
        <v>7.4</v>
      </c>
      <c r="F6" s="10">
        <v>70</v>
      </c>
      <c r="G6" s="34" t="s">
        <v>14</v>
      </c>
      <c r="H6" s="5" t="s">
        <v>15</v>
      </c>
      <c r="I6" s="21"/>
      <c r="J6" s="5" t="s">
        <v>16</v>
      </c>
      <c r="K6" s="5"/>
      <c r="L6" s="5"/>
      <c r="M6" s="38"/>
      <c r="N6" s="28"/>
      <c r="O6" s="12"/>
      <c r="P6" s="11"/>
    </row>
    <row r="7" spans="1:16" ht="15" customHeight="1" thickBot="1" x14ac:dyDescent="0.3">
      <c r="A7" s="49">
        <f t="shared" si="0"/>
        <v>2026</v>
      </c>
      <c r="B7" s="1">
        <f t="shared" si="0"/>
        <v>12</v>
      </c>
      <c r="C7" s="5">
        <v>323</v>
      </c>
      <c r="D7" s="14">
        <v>45993</v>
      </c>
      <c r="E7" s="5">
        <v>6.6</v>
      </c>
      <c r="F7" s="10">
        <v>80</v>
      </c>
      <c r="G7" s="34" t="s">
        <v>14</v>
      </c>
      <c r="H7" s="5" t="s">
        <v>15</v>
      </c>
      <c r="I7" s="21"/>
      <c r="J7" s="5" t="s">
        <v>16</v>
      </c>
      <c r="K7" s="5"/>
      <c r="L7" s="5"/>
      <c r="M7" s="38"/>
      <c r="N7" s="28"/>
      <c r="O7" s="12"/>
      <c r="P7" s="11"/>
    </row>
    <row r="8" spans="1:16" ht="15" customHeight="1" thickBot="1" x14ac:dyDescent="0.3">
      <c r="A8" s="49">
        <f t="shared" si="0"/>
        <v>2026</v>
      </c>
      <c r="B8" s="1">
        <f t="shared" si="0"/>
        <v>12</v>
      </c>
      <c r="C8" s="5">
        <v>327</v>
      </c>
      <c r="D8" s="14">
        <v>45993</v>
      </c>
      <c r="E8" s="5">
        <v>14</v>
      </c>
      <c r="F8" s="10">
        <v>50</v>
      </c>
      <c r="G8" s="34" t="s">
        <v>14</v>
      </c>
      <c r="H8" s="5" t="s">
        <v>15</v>
      </c>
      <c r="I8" s="21"/>
      <c r="J8" s="5" t="s">
        <v>16</v>
      </c>
      <c r="K8" s="5"/>
      <c r="L8" s="5"/>
      <c r="M8" s="38"/>
      <c r="N8" s="28"/>
      <c r="O8" s="12"/>
      <c r="P8" s="11"/>
    </row>
    <row r="9" spans="1:16" ht="15" customHeight="1" thickBot="1" x14ac:dyDescent="0.3">
      <c r="A9" s="49">
        <f t="shared" si="0"/>
        <v>2026</v>
      </c>
      <c r="B9" s="1">
        <f t="shared" si="0"/>
        <v>12</v>
      </c>
      <c r="C9" s="5">
        <v>328</v>
      </c>
      <c r="D9" s="14">
        <v>45993</v>
      </c>
      <c r="E9" s="5">
        <v>17.7</v>
      </c>
      <c r="F9" s="10">
        <v>40</v>
      </c>
      <c r="G9" s="34" t="s">
        <v>14</v>
      </c>
      <c r="H9" s="5" t="s">
        <v>15</v>
      </c>
      <c r="I9" s="21"/>
      <c r="J9" s="5" t="s">
        <v>16</v>
      </c>
      <c r="K9" s="5"/>
      <c r="L9" s="5"/>
      <c r="M9" s="38"/>
      <c r="N9" s="28"/>
      <c r="O9" s="12"/>
      <c r="P9" s="11"/>
    </row>
    <row r="10" spans="1:16" ht="15" customHeight="1" thickBot="1" x14ac:dyDescent="0.3">
      <c r="A10" s="49">
        <f t="shared" si="0"/>
        <v>2026</v>
      </c>
      <c r="B10" s="1">
        <f t="shared" si="0"/>
        <v>12</v>
      </c>
      <c r="C10" s="5">
        <v>329</v>
      </c>
      <c r="D10" s="14">
        <v>45993</v>
      </c>
      <c r="E10" s="5">
        <v>4.3</v>
      </c>
      <c r="F10" s="10">
        <v>80</v>
      </c>
      <c r="G10" s="34" t="s">
        <v>14</v>
      </c>
      <c r="H10" s="5" t="s">
        <v>15</v>
      </c>
      <c r="I10" s="21"/>
      <c r="J10" s="5" t="s">
        <v>16</v>
      </c>
      <c r="K10" s="5"/>
      <c r="L10" s="5"/>
      <c r="M10" s="38"/>
      <c r="N10" s="28"/>
      <c r="O10" s="12"/>
      <c r="P10" s="11"/>
    </row>
    <row r="11" spans="1:16" ht="15" customHeight="1" thickBot="1" x14ac:dyDescent="0.3">
      <c r="A11" s="49">
        <f t="shared" si="0"/>
        <v>2026</v>
      </c>
      <c r="B11" s="1">
        <f t="shared" si="0"/>
        <v>12</v>
      </c>
      <c r="C11" s="5">
        <v>330</v>
      </c>
      <c r="D11" s="14">
        <v>45993</v>
      </c>
      <c r="E11" s="5">
        <v>8.6</v>
      </c>
      <c r="F11" s="10">
        <v>62</v>
      </c>
      <c r="G11" s="34" t="s">
        <v>14</v>
      </c>
      <c r="H11" s="5" t="s">
        <v>15</v>
      </c>
      <c r="I11" s="21"/>
      <c r="J11" s="5" t="s">
        <v>16</v>
      </c>
      <c r="K11" s="5"/>
      <c r="L11" s="5"/>
      <c r="M11" s="38"/>
      <c r="N11" s="28"/>
      <c r="O11" s="12"/>
      <c r="P11" s="11"/>
    </row>
    <row r="12" spans="1:16" ht="15" customHeight="1" thickBot="1" x14ac:dyDescent="0.3">
      <c r="A12" s="49">
        <f t="shared" si="0"/>
        <v>2026</v>
      </c>
      <c r="B12" s="1">
        <f t="shared" si="0"/>
        <v>12</v>
      </c>
      <c r="C12" s="5">
        <v>335</v>
      </c>
      <c r="D12" s="16">
        <v>45993</v>
      </c>
      <c r="E12" s="6">
        <v>3.7</v>
      </c>
      <c r="F12" s="9">
        <v>110</v>
      </c>
      <c r="G12" s="34" t="s">
        <v>14</v>
      </c>
      <c r="H12" s="6" t="s">
        <v>15</v>
      </c>
      <c r="I12" s="20"/>
      <c r="J12" s="6" t="s">
        <v>16</v>
      </c>
      <c r="K12" s="6"/>
      <c r="L12" s="6"/>
      <c r="M12" s="39"/>
      <c r="N12" s="32"/>
      <c r="O12" s="12"/>
      <c r="P12" s="11"/>
    </row>
    <row r="13" spans="1:16" ht="15" customHeight="1" thickBot="1" x14ac:dyDescent="0.3">
      <c r="A13" s="49">
        <f t="shared" si="0"/>
        <v>2026</v>
      </c>
      <c r="B13" s="1">
        <f t="shared" si="0"/>
        <v>12</v>
      </c>
      <c r="C13" s="5">
        <v>336</v>
      </c>
      <c r="D13" s="14">
        <v>45993</v>
      </c>
      <c r="E13" s="5">
        <v>6.2</v>
      </c>
      <c r="F13" s="10">
        <v>70</v>
      </c>
      <c r="G13" s="34" t="s">
        <v>14</v>
      </c>
      <c r="H13" s="5" t="s">
        <v>15</v>
      </c>
      <c r="I13" s="21"/>
      <c r="J13" s="5" t="s">
        <v>16</v>
      </c>
      <c r="K13" s="5"/>
      <c r="L13" s="5"/>
      <c r="M13" s="38"/>
      <c r="N13" s="28"/>
      <c r="O13" s="12"/>
      <c r="P13" s="11"/>
    </row>
    <row r="14" spans="1:16" ht="15" customHeight="1" thickBot="1" x14ac:dyDescent="0.3">
      <c r="A14" s="49">
        <f t="shared" si="0"/>
        <v>2026</v>
      </c>
      <c r="B14" s="1">
        <f t="shared" si="0"/>
        <v>12</v>
      </c>
      <c r="C14" s="5">
        <v>338</v>
      </c>
      <c r="D14" s="14">
        <v>45992</v>
      </c>
      <c r="E14" s="5">
        <v>10.5</v>
      </c>
      <c r="F14" s="10">
        <v>56</v>
      </c>
      <c r="G14" s="34" t="s">
        <v>14</v>
      </c>
      <c r="H14" s="5" t="s">
        <v>15</v>
      </c>
      <c r="I14" s="21"/>
      <c r="J14" s="5" t="s">
        <v>16</v>
      </c>
      <c r="K14" s="5"/>
      <c r="L14" s="5"/>
      <c r="M14" s="38"/>
      <c r="N14" s="28"/>
      <c r="O14" s="12"/>
      <c r="P14" s="11"/>
    </row>
    <row r="15" spans="1:16" ht="15" customHeight="1" thickBot="1" x14ac:dyDescent="0.3">
      <c r="A15" s="49">
        <f t="shared" si="0"/>
        <v>2026</v>
      </c>
      <c r="B15" s="1">
        <f t="shared" si="0"/>
        <v>12</v>
      </c>
      <c r="C15" s="1">
        <v>340</v>
      </c>
      <c r="D15" s="13">
        <v>45992</v>
      </c>
      <c r="E15" s="5">
        <v>17.600000000000001</v>
      </c>
      <c r="F15" s="10">
        <v>50</v>
      </c>
      <c r="G15" s="34" t="s">
        <v>14</v>
      </c>
      <c r="H15" s="5" t="s">
        <v>15</v>
      </c>
      <c r="I15" s="21"/>
      <c r="J15" s="5" t="s">
        <v>16</v>
      </c>
      <c r="K15" s="5"/>
      <c r="L15" s="5"/>
      <c r="M15" s="38"/>
      <c r="N15" s="28"/>
      <c r="O15" s="12"/>
      <c r="P15" s="11"/>
    </row>
    <row r="16" spans="1:16" ht="15" customHeight="1" thickBot="1" x14ac:dyDescent="0.3">
      <c r="A16" s="49">
        <f t="shared" si="0"/>
        <v>2026</v>
      </c>
      <c r="B16" s="1">
        <f t="shared" si="0"/>
        <v>12</v>
      </c>
      <c r="C16" s="1">
        <v>342</v>
      </c>
      <c r="D16" s="13">
        <v>45992</v>
      </c>
      <c r="E16" s="2">
        <v>13.5</v>
      </c>
      <c r="F16" s="7">
        <v>56</v>
      </c>
      <c r="G16" s="34" t="s">
        <v>14</v>
      </c>
      <c r="H16" s="1" t="s">
        <v>15</v>
      </c>
      <c r="I16" s="22"/>
      <c r="J16" s="5" t="s">
        <v>16</v>
      </c>
      <c r="K16" s="1"/>
      <c r="L16" s="1"/>
      <c r="M16" s="26"/>
      <c r="N16" s="29"/>
      <c r="O16" s="12"/>
      <c r="P16" s="11"/>
    </row>
    <row r="17" spans="1:16" ht="15" customHeight="1" thickBot="1" x14ac:dyDescent="0.3">
      <c r="A17" s="49">
        <f t="shared" si="0"/>
        <v>2026</v>
      </c>
      <c r="B17" s="1">
        <f t="shared" si="0"/>
        <v>12</v>
      </c>
      <c r="C17" s="1">
        <v>343</v>
      </c>
      <c r="D17" s="13">
        <v>45992</v>
      </c>
      <c r="E17" s="2">
        <v>11.4</v>
      </c>
      <c r="F17" s="7">
        <v>65</v>
      </c>
      <c r="G17" s="34" t="s">
        <v>14</v>
      </c>
      <c r="H17" s="1" t="s">
        <v>15</v>
      </c>
      <c r="I17" s="22"/>
      <c r="J17" s="5" t="s">
        <v>16</v>
      </c>
      <c r="K17" s="1"/>
      <c r="L17" s="1"/>
      <c r="M17" s="26"/>
      <c r="N17" s="29"/>
      <c r="O17" s="12"/>
      <c r="P17" s="11"/>
    </row>
    <row r="18" spans="1:16" ht="15" customHeight="1" thickBot="1" x14ac:dyDescent="0.3">
      <c r="A18" s="49">
        <f t="shared" si="0"/>
        <v>2026</v>
      </c>
      <c r="B18" s="1">
        <f t="shared" si="0"/>
        <v>12</v>
      </c>
      <c r="C18" s="1">
        <v>344</v>
      </c>
      <c r="D18" s="13">
        <v>45992</v>
      </c>
      <c r="E18" s="2">
        <v>9.6</v>
      </c>
      <c r="F18" s="7">
        <v>57</v>
      </c>
      <c r="G18" s="34" t="s">
        <v>14</v>
      </c>
      <c r="H18" s="1" t="s">
        <v>15</v>
      </c>
      <c r="I18" s="22"/>
      <c r="J18" s="5" t="s">
        <v>16</v>
      </c>
      <c r="K18" s="1"/>
      <c r="L18" s="1"/>
      <c r="M18" s="26"/>
      <c r="N18" s="29"/>
      <c r="O18" s="12"/>
      <c r="P18" s="11"/>
    </row>
    <row r="19" spans="1:16" ht="15" customHeight="1" thickBot="1" x14ac:dyDescent="0.3">
      <c r="A19" s="49">
        <f t="shared" si="0"/>
        <v>2026</v>
      </c>
      <c r="B19" s="1">
        <f t="shared" si="0"/>
        <v>12</v>
      </c>
      <c r="C19" s="1">
        <v>345</v>
      </c>
      <c r="D19" s="13">
        <v>45992</v>
      </c>
      <c r="E19" s="2">
        <v>8.4</v>
      </c>
      <c r="F19" s="7">
        <v>74</v>
      </c>
      <c r="G19" s="34" t="s">
        <v>14</v>
      </c>
      <c r="H19" s="1" t="s">
        <v>15</v>
      </c>
      <c r="I19" s="22"/>
      <c r="J19" s="5" t="s">
        <v>16</v>
      </c>
      <c r="K19" s="1"/>
      <c r="L19" s="1"/>
      <c r="M19" s="26"/>
      <c r="N19" s="29"/>
      <c r="O19" s="12"/>
      <c r="P19" s="11"/>
    </row>
    <row r="20" spans="1:16" ht="15" customHeight="1" thickBot="1" x14ac:dyDescent="0.3">
      <c r="A20" s="49">
        <f t="shared" ref="A20:B35" si="1">A19</f>
        <v>2026</v>
      </c>
      <c r="B20" s="1">
        <f t="shared" si="1"/>
        <v>12</v>
      </c>
      <c r="C20" s="1">
        <v>346</v>
      </c>
      <c r="D20" s="13">
        <v>45992</v>
      </c>
      <c r="E20" s="2">
        <v>4.9000000000000004</v>
      </c>
      <c r="F20" s="7">
        <v>83</v>
      </c>
      <c r="G20" s="34" t="s">
        <v>14</v>
      </c>
      <c r="H20" s="1" t="s">
        <v>15</v>
      </c>
      <c r="I20" s="22"/>
      <c r="J20" s="5" t="s">
        <v>16</v>
      </c>
      <c r="K20" s="1"/>
      <c r="L20" s="1"/>
      <c r="M20" s="26"/>
      <c r="N20" s="29"/>
      <c r="O20" s="12"/>
      <c r="P20" s="11"/>
    </row>
    <row r="21" spans="1:16" ht="15" customHeight="1" thickBot="1" x14ac:dyDescent="0.3">
      <c r="A21" s="49">
        <f t="shared" si="1"/>
        <v>2026</v>
      </c>
      <c r="B21" s="1">
        <f t="shared" si="1"/>
        <v>12</v>
      </c>
      <c r="C21" s="1">
        <v>347</v>
      </c>
      <c r="D21" s="13">
        <v>45992</v>
      </c>
      <c r="E21" s="2">
        <v>6.1</v>
      </c>
      <c r="F21" s="7">
        <v>140</v>
      </c>
      <c r="G21" s="34" t="s">
        <v>14</v>
      </c>
      <c r="H21" s="1" t="s">
        <v>15</v>
      </c>
      <c r="I21" s="22"/>
      <c r="J21" s="5" t="s">
        <v>16</v>
      </c>
      <c r="K21" s="1"/>
      <c r="L21" s="1"/>
      <c r="M21" s="26"/>
      <c r="N21" s="29"/>
      <c r="O21" s="12"/>
      <c r="P21" s="11"/>
    </row>
    <row r="22" spans="1:16" ht="15" customHeight="1" thickBot="1" x14ac:dyDescent="0.3">
      <c r="A22" s="49">
        <f t="shared" si="1"/>
        <v>2026</v>
      </c>
      <c r="B22" s="1">
        <f t="shared" si="1"/>
        <v>12</v>
      </c>
      <c r="C22" s="1">
        <v>348</v>
      </c>
      <c r="D22" s="13">
        <v>45992</v>
      </c>
      <c r="E22" s="2">
        <v>2.9</v>
      </c>
      <c r="F22" s="7">
        <v>124</v>
      </c>
      <c r="G22" s="34" t="s">
        <v>14</v>
      </c>
      <c r="H22" s="1" t="s">
        <v>15</v>
      </c>
      <c r="I22" s="22"/>
      <c r="J22" s="5" t="s">
        <v>16</v>
      </c>
      <c r="K22" s="1"/>
      <c r="L22" s="1"/>
      <c r="M22" s="26"/>
      <c r="N22" s="29"/>
      <c r="O22" s="12"/>
      <c r="P22" s="11"/>
    </row>
    <row r="23" spans="1:16" ht="15" customHeight="1" thickBot="1" x14ac:dyDescent="0.3">
      <c r="A23" s="49">
        <f t="shared" si="1"/>
        <v>2026</v>
      </c>
      <c r="B23" s="1">
        <f t="shared" si="1"/>
        <v>12</v>
      </c>
      <c r="C23" s="1">
        <v>349</v>
      </c>
      <c r="D23" s="13">
        <v>45992</v>
      </c>
      <c r="E23" s="2">
        <v>3.7</v>
      </c>
      <c r="F23" s="7">
        <v>120</v>
      </c>
      <c r="G23" s="34" t="s">
        <v>14</v>
      </c>
      <c r="H23" s="1" t="s">
        <v>15</v>
      </c>
      <c r="I23" s="22"/>
      <c r="J23" s="1" t="s">
        <v>16</v>
      </c>
      <c r="K23" s="1"/>
      <c r="L23" s="1"/>
      <c r="M23" s="26"/>
      <c r="N23" s="29"/>
      <c r="O23" s="12"/>
      <c r="P23" s="11"/>
    </row>
    <row r="24" spans="1:16" ht="15" customHeight="1" thickBot="1" x14ac:dyDescent="0.3">
      <c r="A24" s="49">
        <f t="shared" si="1"/>
        <v>2026</v>
      </c>
      <c r="B24" s="1">
        <f t="shared" si="1"/>
        <v>12</v>
      </c>
      <c r="C24" s="1">
        <v>401</v>
      </c>
      <c r="D24" s="50">
        <v>45992</v>
      </c>
      <c r="E24" s="2">
        <v>10.8</v>
      </c>
      <c r="F24" s="7">
        <v>86</v>
      </c>
      <c r="G24" s="34" t="s">
        <v>14</v>
      </c>
      <c r="H24" s="1" t="s">
        <v>15</v>
      </c>
      <c r="I24" s="22"/>
      <c r="J24" s="5" t="s">
        <v>16</v>
      </c>
      <c r="K24" s="1"/>
      <c r="L24" s="1"/>
      <c r="M24" s="26"/>
      <c r="N24" s="29"/>
      <c r="O24" s="12"/>
      <c r="P24" s="11"/>
    </row>
    <row r="25" spans="1:16" ht="15" customHeight="1" thickBot="1" x14ac:dyDescent="0.3">
      <c r="A25" s="49">
        <f t="shared" si="1"/>
        <v>2026</v>
      </c>
      <c r="B25" s="1">
        <f t="shared" si="1"/>
        <v>12</v>
      </c>
      <c r="C25" s="5">
        <v>404</v>
      </c>
      <c r="D25" s="14">
        <v>45993</v>
      </c>
      <c r="E25" s="2">
        <v>10.9</v>
      </c>
      <c r="F25" s="7">
        <v>70</v>
      </c>
      <c r="G25" s="34" t="s">
        <v>14</v>
      </c>
      <c r="H25" s="1" t="s">
        <v>15</v>
      </c>
      <c r="I25" s="22"/>
      <c r="J25" s="5" t="s">
        <v>16</v>
      </c>
      <c r="K25" s="1"/>
      <c r="L25" s="1"/>
      <c r="M25" s="26"/>
      <c r="N25" s="29"/>
      <c r="O25" s="12"/>
      <c r="P25" s="11"/>
    </row>
    <row r="26" spans="1:16" ht="15" customHeight="1" thickBot="1" x14ac:dyDescent="0.3">
      <c r="A26" s="49">
        <f t="shared" si="1"/>
        <v>2026</v>
      </c>
      <c r="B26" s="1">
        <f t="shared" si="1"/>
        <v>12</v>
      </c>
      <c r="C26" s="1">
        <v>405</v>
      </c>
      <c r="D26" s="13">
        <v>45993</v>
      </c>
      <c r="E26" s="2">
        <v>10.3</v>
      </c>
      <c r="F26" s="7">
        <v>57</v>
      </c>
      <c r="G26" s="34" t="s">
        <v>14</v>
      </c>
      <c r="H26" s="1" t="s">
        <v>15</v>
      </c>
      <c r="I26" s="22"/>
      <c r="J26" s="1" t="s">
        <v>16</v>
      </c>
      <c r="K26" s="1"/>
      <c r="L26" s="1"/>
      <c r="M26" s="26"/>
      <c r="N26" s="29"/>
      <c r="O26" s="12"/>
      <c r="P26" s="11"/>
    </row>
    <row r="27" spans="1:16" ht="15" customHeight="1" thickBot="1" x14ac:dyDescent="0.3">
      <c r="A27" s="49">
        <f t="shared" si="1"/>
        <v>2026</v>
      </c>
      <c r="B27" s="1">
        <f t="shared" si="1"/>
        <v>12</v>
      </c>
      <c r="C27" s="1">
        <v>411</v>
      </c>
      <c r="D27" s="13">
        <v>45994</v>
      </c>
      <c r="E27" s="2">
        <v>14.7</v>
      </c>
      <c r="F27" s="7">
        <v>55</v>
      </c>
      <c r="G27" s="34" t="s">
        <v>14</v>
      </c>
      <c r="H27" s="1" t="s">
        <v>15</v>
      </c>
      <c r="I27" s="22"/>
      <c r="J27" s="1" t="s">
        <v>16</v>
      </c>
      <c r="K27" s="1"/>
      <c r="L27" s="1"/>
      <c r="M27" s="26"/>
      <c r="N27" s="29"/>
      <c r="O27" s="12"/>
      <c r="P27" s="11"/>
    </row>
    <row r="28" spans="1:16" ht="15" customHeight="1" thickBot="1" x14ac:dyDescent="0.3">
      <c r="A28" s="49">
        <f t="shared" si="1"/>
        <v>2026</v>
      </c>
      <c r="B28" s="1">
        <f t="shared" si="1"/>
        <v>12</v>
      </c>
      <c r="C28" s="1">
        <v>418</v>
      </c>
      <c r="D28" s="13">
        <v>45994</v>
      </c>
      <c r="E28" s="2">
        <v>13.2</v>
      </c>
      <c r="F28" s="7">
        <v>73</v>
      </c>
      <c r="G28" s="34" t="s">
        <v>14</v>
      </c>
      <c r="H28" s="1" t="s">
        <v>15</v>
      </c>
      <c r="I28" s="22"/>
      <c r="J28" s="1" t="s">
        <v>16</v>
      </c>
      <c r="K28" s="1"/>
      <c r="L28" s="1"/>
      <c r="M28" s="26"/>
      <c r="N28" s="29"/>
      <c r="O28" s="12"/>
      <c r="P28" s="11"/>
    </row>
    <row r="29" spans="1:16" ht="15" customHeight="1" thickBot="1" x14ac:dyDescent="0.3">
      <c r="A29" s="49">
        <f t="shared" si="1"/>
        <v>2026</v>
      </c>
      <c r="B29" s="1">
        <f t="shared" si="1"/>
        <v>12</v>
      </c>
      <c r="C29" s="1">
        <v>501</v>
      </c>
      <c r="D29" s="13">
        <v>45994</v>
      </c>
      <c r="E29" s="2">
        <v>15.1</v>
      </c>
      <c r="F29" s="7">
        <v>43</v>
      </c>
      <c r="G29" s="34" t="s">
        <v>14</v>
      </c>
      <c r="H29" s="1" t="s">
        <v>15</v>
      </c>
      <c r="I29" s="22"/>
      <c r="J29" s="1" t="s">
        <v>16</v>
      </c>
      <c r="K29" s="1"/>
      <c r="L29" s="1"/>
      <c r="M29" s="26"/>
      <c r="N29" s="29"/>
      <c r="O29" s="12"/>
      <c r="P29" s="11"/>
    </row>
    <row r="30" spans="1:16" ht="15" customHeight="1" thickBot="1" x14ac:dyDescent="0.3">
      <c r="A30" s="49">
        <f t="shared" si="1"/>
        <v>2026</v>
      </c>
      <c r="B30" s="1">
        <f t="shared" si="1"/>
        <v>12</v>
      </c>
      <c r="C30" s="1">
        <v>504</v>
      </c>
      <c r="D30" s="13">
        <v>45993</v>
      </c>
      <c r="E30" s="2">
        <v>17.399999999999999</v>
      </c>
      <c r="F30" s="7">
        <v>52</v>
      </c>
      <c r="G30" s="34" t="s">
        <v>14</v>
      </c>
      <c r="H30" s="1" t="s">
        <v>15</v>
      </c>
      <c r="I30" s="22"/>
      <c r="J30" s="1" t="s">
        <v>16</v>
      </c>
      <c r="K30" s="1"/>
      <c r="L30" s="1"/>
      <c r="M30" s="26"/>
      <c r="N30" s="29"/>
      <c r="O30" s="12"/>
      <c r="P30" s="11"/>
    </row>
    <row r="31" spans="1:16" ht="15" customHeight="1" thickBot="1" x14ac:dyDescent="0.3">
      <c r="A31" s="49">
        <f t="shared" si="1"/>
        <v>2026</v>
      </c>
      <c r="B31" s="1">
        <f t="shared" si="1"/>
        <v>12</v>
      </c>
      <c r="C31" s="1">
        <v>508</v>
      </c>
      <c r="D31" s="13">
        <v>45994</v>
      </c>
      <c r="E31" s="2">
        <v>17.5</v>
      </c>
      <c r="F31" s="7">
        <v>45</v>
      </c>
      <c r="G31" s="34" t="s">
        <v>14</v>
      </c>
      <c r="H31" s="1" t="s">
        <v>15</v>
      </c>
      <c r="I31" s="36"/>
      <c r="J31" s="51" t="s">
        <v>16</v>
      </c>
      <c r="K31" s="1"/>
      <c r="L31" s="1"/>
      <c r="M31" s="2"/>
      <c r="N31" s="29"/>
      <c r="O31" s="12"/>
      <c r="P31" s="11"/>
    </row>
    <row r="32" spans="1:16" ht="15" customHeight="1" thickBot="1" x14ac:dyDescent="0.3">
      <c r="A32" s="49">
        <f t="shared" si="1"/>
        <v>2026</v>
      </c>
      <c r="B32" s="1">
        <f t="shared" si="1"/>
        <v>12</v>
      </c>
      <c r="C32" s="1">
        <v>513</v>
      </c>
      <c r="D32" s="13">
        <v>45994</v>
      </c>
      <c r="E32" s="2">
        <v>8.3000000000000007</v>
      </c>
      <c r="F32" s="7">
        <v>79</v>
      </c>
      <c r="G32" s="34" t="s">
        <v>14</v>
      </c>
      <c r="H32" s="1" t="s">
        <v>15</v>
      </c>
      <c r="I32" s="36"/>
      <c r="J32" s="52" t="s">
        <v>16</v>
      </c>
      <c r="K32" s="1"/>
      <c r="L32" s="1"/>
      <c r="M32" s="2"/>
      <c r="N32" s="29"/>
      <c r="O32" s="11"/>
      <c r="P32" s="11"/>
    </row>
    <row r="33" spans="1:16" ht="15" customHeight="1" thickBot="1" x14ac:dyDescent="0.3">
      <c r="A33" s="49">
        <f t="shared" si="1"/>
        <v>2026</v>
      </c>
      <c r="B33" s="1">
        <f t="shared" si="1"/>
        <v>12</v>
      </c>
      <c r="C33" s="1">
        <v>519</v>
      </c>
      <c r="D33" s="13">
        <v>45994</v>
      </c>
      <c r="E33" s="2">
        <v>20.3</v>
      </c>
      <c r="F33" s="7">
        <v>38</v>
      </c>
      <c r="G33" s="34" t="s">
        <v>14</v>
      </c>
      <c r="H33" s="1" t="s">
        <v>15</v>
      </c>
      <c r="I33" s="22"/>
      <c r="J33" s="1" t="s">
        <v>16</v>
      </c>
      <c r="K33" s="1"/>
      <c r="L33" s="1"/>
      <c r="M33" s="26"/>
      <c r="N33" s="29"/>
      <c r="O33" s="12"/>
      <c r="P33" s="11"/>
    </row>
    <row r="34" spans="1:16" ht="15" customHeight="1" thickBot="1" x14ac:dyDescent="0.3">
      <c r="A34" s="49">
        <f t="shared" si="1"/>
        <v>2026</v>
      </c>
      <c r="B34" s="1">
        <f t="shared" si="1"/>
        <v>12</v>
      </c>
      <c r="C34" s="1">
        <v>520</v>
      </c>
      <c r="D34" s="13">
        <v>45993</v>
      </c>
      <c r="E34" s="2">
        <v>11.3</v>
      </c>
      <c r="F34" s="7">
        <v>62</v>
      </c>
      <c r="G34" s="34" t="s">
        <v>14</v>
      </c>
      <c r="H34" s="1" t="s">
        <v>15</v>
      </c>
      <c r="I34" s="22"/>
      <c r="J34" s="1" t="s">
        <v>16</v>
      </c>
      <c r="K34" s="1"/>
      <c r="L34" s="1"/>
      <c r="M34" s="26"/>
      <c r="N34" s="29"/>
      <c r="O34" s="12"/>
      <c r="P34" s="11"/>
    </row>
    <row r="35" spans="1:16" ht="15" customHeight="1" thickBot="1" x14ac:dyDescent="0.3">
      <c r="A35" s="49">
        <f t="shared" si="1"/>
        <v>2026</v>
      </c>
      <c r="B35" s="1">
        <f t="shared" si="1"/>
        <v>12</v>
      </c>
      <c r="C35" s="1">
        <v>602</v>
      </c>
      <c r="D35" s="13">
        <v>45994</v>
      </c>
      <c r="E35" s="2">
        <v>41.1</v>
      </c>
      <c r="F35" s="7">
        <v>30</v>
      </c>
      <c r="G35" s="34" t="s">
        <v>14</v>
      </c>
      <c r="H35" s="1" t="s">
        <v>15</v>
      </c>
      <c r="I35" s="22"/>
      <c r="J35" s="1" t="s">
        <v>16</v>
      </c>
      <c r="K35" s="1"/>
      <c r="L35" s="1"/>
      <c r="M35" s="26"/>
      <c r="N35" s="29"/>
      <c r="O35" s="12"/>
      <c r="P35" s="11"/>
    </row>
    <row r="36" spans="1:16" ht="15" customHeight="1" x14ac:dyDescent="0.25">
      <c r="A36" s="49">
        <f t="shared" ref="A36:B51" si="2">A35</f>
        <v>2026</v>
      </c>
      <c r="B36" s="1">
        <f t="shared" si="2"/>
        <v>12</v>
      </c>
      <c r="C36" s="1">
        <v>606</v>
      </c>
      <c r="D36" s="13">
        <v>45994</v>
      </c>
      <c r="E36" s="2">
        <v>32</v>
      </c>
      <c r="F36" s="7">
        <v>28</v>
      </c>
      <c r="G36" s="34" t="s">
        <v>14</v>
      </c>
      <c r="H36" s="1" t="s">
        <v>15</v>
      </c>
      <c r="I36" s="22"/>
      <c r="J36" s="1" t="s">
        <v>16</v>
      </c>
      <c r="K36" s="1"/>
      <c r="L36" s="1"/>
      <c r="M36" s="26"/>
      <c r="N36" s="29"/>
      <c r="O36" s="11"/>
      <c r="P36" s="11"/>
    </row>
    <row r="37" spans="1:16" ht="15" customHeight="1" x14ac:dyDescent="0.25">
      <c r="A37" s="49">
        <f t="shared" si="2"/>
        <v>2026</v>
      </c>
      <c r="B37" s="1">
        <f t="shared" si="2"/>
        <v>12</v>
      </c>
      <c r="C37" s="1">
        <v>609</v>
      </c>
      <c r="D37" s="13">
        <v>45994</v>
      </c>
      <c r="E37" s="2">
        <v>38.799999999999997</v>
      </c>
      <c r="F37" s="7">
        <v>25</v>
      </c>
      <c r="G37" s="34" t="s">
        <v>14</v>
      </c>
      <c r="H37" s="1" t="s">
        <v>15</v>
      </c>
      <c r="I37" s="36"/>
      <c r="J37" s="1" t="s">
        <v>16</v>
      </c>
      <c r="K37" s="1"/>
      <c r="L37" s="1"/>
      <c r="M37" s="26"/>
      <c r="N37" s="29"/>
      <c r="O37" s="11"/>
      <c r="P37" s="11"/>
    </row>
    <row r="38" spans="1:16" ht="15" customHeight="1" x14ac:dyDescent="0.25">
      <c r="A38" s="49">
        <f t="shared" si="2"/>
        <v>2026</v>
      </c>
      <c r="B38" s="1">
        <f t="shared" si="2"/>
        <v>12</v>
      </c>
      <c r="C38" s="1">
        <v>610</v>
      </c>
      <c r="D38" s="13">
        <v>45994</v>
      </c>
      <c r="E38" s="2">
        <v>13.9</v>
      </c>
      <c r="F38" s="7">
        <v>45</v>
      </c>
      <c r="G38" s="34" t="s">
        <v>14</v>
      </c>
      <c r="H38" s="1" t="s">
        <v>15</v>
      </c>
      <c r="I38" s="36"/>
      <c r="J38" s="1" t="s">
        <v>16</v>
      </c>
      <c r="K38" s="1"/>
      <c r="L38" s="1"/>
      <c r="M38" s="26"/>
      <c r="N38" s="29"/>
      <c r="O38" s="11"/>
      <c r="P38" s="11"/>
    </row>
    <row r="39" spans="1:16" ht="15" customHeight="1" x14ac:dyDescent="0.25">
      <c r="A39" s="49">
        <f t="shared" si="2"/>
        <v>2026</v>
      </c>
      <c r="B39" s="1">
        <f t="shared" si="2"/>
        <v>12</v>
      </c>
      <c r="C39" s="1">
        <v>703</v>
      </c>
      <c r="D39" s="13">
        <v>45993</v>
      </c>
      <c r="E39" s="2">
        <v>7.9</v>
      </c>
      <c r="F39" s="7">
        <v>56</v>
      </c>
      <c r="G39" s="34" t="s">
        <v>14</v>
      </c>
      <c r="H39" s="1" t="s">
        <v>15</v>
      </c>
      <c r="I39" s="22"/>
      <c r="J39" s="1" t="s">
        <v>16</v>
      </c>
      <c r="K39" s="1"/>
      <c r="L39" s="1"/>
      <c r="M39" s="26"/>
      <c r="N39" s="29"/>
      <c r="P39" s="11"/>
    </row>
    <row r="40" spans="1:16" ht="15" customHeight="1" x14ac:dyDescent="0.25">
      <c r="A40" s="49">
        <f t="shared" si="2"/>
        <v>2026</v>
      </c>
      <c r="B40" s="1">
        <f t="shared" si="2"/>
        <v>12</v>
      </c>
      <c r="C40" s="1">
        <v>704</v>
      </c>
      <c r="D40" s="13">
        <v>45993</v>
      </c>
      <c r="E40" s="2">
        <v>12.2</v>
      </c>
      <c r="F40" s="7">
        <v>39</v>
      </c>
      <c r="G40" s="34" t="s">
        <v>14</v>
      </c>
      <c r="H40" s="1" t="s">
        <v>15</v>
      </c>
      <c r="I40" s="22"/>
      <c r="J40" s="1" t="s">
        <v>16</v>
      </c>
      <c r="K40" s="1"/>
      <c r="L40" s="1"/>
      <c r="M40" s="26"/>
      <c r="N40" s="29"/>
      <c r="O40" s="11"/>
      <c r="P40" s="11"/>
    </row>
    <row r="41" spans="1:16" ht="15" customHeight="1" x14ac:dyDescent="0.25">
      <c r="A41" s="49">
        <f t="shared" si="2"/>
        <v>2026</v>
      </c>
      <c r="B41" s="1">
        <f t="shared" si="2"/>
        <v>12</v>
      </c>
      <c r="C41" s="1">
        <v>705</v>
      </c>
      <c r="D41" s="13">
        <v>45993</v>
      </c>
      <c r="E41" s="2">
        <v>9.5</v>
      </c>
      <c r="F41" s="7">
        <v>85</v>
      </c>
      <c r="G41" s="34" t="s">
        <v>14</v>
      </c>
      <c r="H41" s="1" t="s">
        <v>15</v>
      </c>
      <c r="I41" s="22"/>
      <c r="J41" s="1" t="s">
        <v>16</v>
      </c>
      <c r="K41" s="1"/>
      <c r="L41" s="1"/>
      <c r="M41" s="26"/>
      <c r="N41" s="29"/>
      <c r="O41" s="11"/>
      <c r="P41" s="11"/>
    </row>
    <row r="42" spans="1:16" ht="15" customHeight="1" x14ac:dyDescent="0.25">
      <c r="A42" s="49">
        <f t="shared" si="2"/>
        <v>2026</v>
      </c>
      <c r="B42" s="1">
        <f t="shared" si="2"/>
        <v>12</v>
      </c>
      <c r="C42" s="1">
        <v>706</v>
      </c>
      <c r="D42" s="13">
        <v>45993</v>
      </c>
      <c r="E42" s="2">
        <v>15.7</v>
      </c>
      <c r="F42" s="7">
        <v>36</v>
      </c>
      <c r="G42" s="34" t="s">
        <v>14</v>
      </c>
      <c r="H42" s="1" t="s">
        <v>15</v>
      </c>
      <c r="I42" s="22"/>
      <c r="J42" s="1" t="s">
        <v>16</v>
      </c>
      <c r="K42" s="1"/>
      <c r="L42" s="1"/>
      <c r="M42" s="26"/>
      <c r="N42" s="29"/>
      <c r="O42" s="11"/>
      <c r="P42" s="11"/>
    </row>
    <row r="43" spans="1:16" ht="15" customHeight="1" x14ac:dyDescent="0.25">
      <c r="A43" s="49">
        <f t="shared" si="2"/>
        <v>2026</v>
      </c>
      <c r="B43" s="1">
        <f t="shared" si="2"/>
        <v>12</v>
      </c>
      <c r="C43" s="1">
        <v>707</v>
      </c>
      <c r="D43" s="13">
        <v>45993</v>
      </c>
      <c r="E43" s="2">
        <v>10.7</v>
      </c>
      <c r="F43" s="7">
        <v>68</v>
      </c>
      <c r="G43" s="34" t="s">
        <v>14</v>
      </c>
      <c r="H43" s="1" t="s">
        <v>15</v>
      </c>
      <c r="I43" s="22"/>
      <c r="J43" s="1" t="s">
        <v>16</v>
      </c>
      <c r="K43" s="1"/>
      <c r="L43" s="1"/>
      <c r="M43" s="26"/>
      <c r="N43" s="29"/>
      <c r="O43" s="11"/>
      <c r="P43" s="11"/>
    </row>
    <row r="44" spans="1:16" ht="15" customHeight="1" thickBot="1" x14ac:dyDescent="0.3">
      <c r="A44" s="49">
        <f t="shared" si="2"/>
        <v>2026</v>
      </c>
      <c r="B44" s="1">
        <f t="shared" si="2"/>
        <v>12</v>
      </c>
      <c r="C44" s="1">
        <v>711</v>
      </c>
      <c r="D44" s="13">
        <v>45993</v>
      </c>
      <c r="E44" s="2">
        <v>5.9</v>
      </c>
      <c r="F44" s="7">
        <v>145</v>
      </c>
      <c r="G44" s="34" t="s">
        <v>14</v>
      </c>
      <c r="H44" s="1" t="s">
        <v>15</v>
      </c>
      <c r="I44" s="22"/>
      <c r="J44" s="1" t="s">
        <v>16</v>
      </c>
      <c r="K44" s="1"/>
      <c r="L44" s="1"/>
      <c r="M44" s="26"/>
      <c r="N44" s="29"/>
      <c r="O44" s="11"/>
      <c r="P44" s="11"/>
    </row>
    <row r="45" spans="1:16" ht="15" customHeight="1" thickBot="1" x14ac:dyDescent="0.3">
      <c r="A45" s="49">
        <f t="shared" si="2"/>
        <v>2026</v>
      </c>
      <c r="B45" s="1">
        <f t="shared" si="2"/>
        <v>12</v>
      </c>
      <c r="C45" s="1">
        <v>716</v>
      </c>
      <c r="D45" s="13">
        <v>45993</v>
      </c>
      <c r="E45" s="2">
        <v>6.3</v>
      </c>
      <c r="F45" s="7">
        <v>115</v>
      </c>
      <c r="G45" s="34" t="s">
        <v>14</v>
      </c>
      <c r="H45" s="1" t="s">
        <v>15</v>
      </c>
      <c r="I45" s="22"/>
      <c r="J45" s="1" t="s">
        <v>16</v>
      </c>
      <c r="K45" s="1"/>
      <c r="L45" s="1"/>
      <c r="M45" s="26"/>
      <c r="N45" s="29"/>
      <c r="O45" s="83"/>
      <c r="P45" s="11"/>
    </row>
    <row r="46" spans="1:16" ht="15" customHeight="1" x14ac:dyDescent="0.25">
      <c r="A46" s="49">
        <f t="shared" si="2"/>
        <v>2026</v>
      </c>
      <c r="B46" s="1">
        <f t="shared" si="2"/>
        <v>12</v>
      </c>
      <c r="C46" s="1">
        <v>723</v>
      </c>
      <c r="D46" s="13">
        <v>45993</v>
      </c>
      <c r="E46" s="2">
        <v>5.8</v>
      </c>
      <c r="F46" s="7">
        <v>120</v>
      </c>
      <c r="G46" s="34" t="s">
        <v>14</v>
      </c>
      <c r="H46" s="1" t="s">
        <v>15</v>
      </c>
      <c r="I46" s="22"/>
      <c r="J46" s="1" t="s">
        <v>16</v>
      </c>
      <c r="K46" s="1"/>
      <c r="L46" s="1"/>
      <c r="M46" s="26"/>
      <c r="N46" s="29"/>
      <c r="O46" s="11"/>
      <c r="P46" s="11"/>
    </row>
    <row r="47" spans="1:16" ht="15" customHeight="1" x14ac:dyDescent="0.25">
      <c r="A47" s="49">
        <f t="shared" si="2"/>
        <v>2026</v>
      </c>
      <c r="B47" s="1">
        <f t="shared" si="2"/>
        <v>12</v>
      </c>
      <c r="C47" s="1">
        <v>801</v>
      </c>
      <c r="D47" s="13">
        <v>45994</v>
      </c>
      <c r="E47" s="2">
        <v>10.7</v>
      </c>
      <c r="F47" s="7">
        <v>87</v>
      </c>
      <c r="G47" s="34" t="s">
        <v>14</v>
      </c>
      <c r="H47" s="1" t="s">
        <v>15</v>
      </c>
      <c r="I47" s="22"/>
      <c r="J47" s="1" t="s">
        <v>16</v>
      </c>
      <c r="K47" s="1"/>
      <c r="L47" s="1"/>
      <c r="M47" s="26"/>
      <c r="N47" s="29"/>
      <c r="O47" s="4"/>
      <c r="P47" s="11"/>
    </row>
    <row r="48" spans="1:16" ht="15" customHeight="1" thickBot="1" x14ac:dyDescent="0.3">
      <c r="A48" s="49">
        <f t="shared" si="2"/>
        <v>2026</v>
      </c>
      <c r="B48" s="1">
        <f t="shared" si="2"/>
        <v>12</v>
      </c>
      <c r="C48" s="1">
        <v>804</v>
      </c>
      <c r="D48" s="13">
        <v>45993</v>
      </c>
      <c r="E48" s="2">
        <v>9.4</v>
      </c>
      <c r="F48" s="7">
        <v>77</v>
      </c>
      <c r="G48" s="34" t="s">
        <v>14</v>
      </c>
      <c r="H48" s="1" t="s">
        <v>15</v>
      </c>
      <c r="I48" s="22"/>
      <c r="J48" s="1" t="s">
        <v>16</v>
      </c>
      <c r="K48" s="1"/>
      <c r="L48" s="1"/>
      <c r="M48" s="26"/>
      <c r="N48" s="29"/>
      <c r="O48" s="11"/>
      <c r="P48" s="11"/>
    </row>
    <row r="49" spans="1:16" ht="15" customHeight="1" x14ac:dyDescent="0.25">
      <c r="A49" s="64">
        <f t="shared" si="2"/>
        <v>2026</v>
      </c>
      <c r="B49" s="41">
        <f t="shared" si="2"/>
        <v>12</v>
      </c>
      <c r="C49" s="42">
        <v>809</v>
      </c>
      <c r="D49" s="15">
        <v>45992</v>
      </c>
      <c r="E49" s="73">
        <v>5.0999999999999996</v>
      </c>
      <c r="F49" s="8">
        <v>122</v>
      </c>
      <c r="G49" s="35" t="s">
        <v>14</v>
      </c>
      <c r="H49" s="3" t="s">
        <v>15</v>
      </c>
      <c r="I49" s="23"/>
      <c r="J49" s="3" t="s">
        <v>16</v>
      </c>
      <c r="K49" s="3"/>
      <c r="L49" s="3"/>
      <c r="M49" s="27"/>
      <c r="N49" s="30"/>
      <c r="O49" s="84" t="s">
        <v>13</v>
      </c>
      <c r="P49" s="11"/>
    </row>
    <row r="50" spans="1:16" ht="15" customHeight="1" x14ac:dyDescent="0.25">
      <c r="A50" s="64">
        <f t="shared" si="2"/>
        <v>2026</v>
      </c>
      <c r="B50" s="41">
        <f t="shared" si="2"/>
        <v>12</v>
      </c>
      <c r="C50" s="42">
        <v>812</v>
      </c>
      <c r="D50" s="15">
        <v>45993</v>
      </c>
      <c r="E50" s="73">
        <v>4.8</v>
      </c>
      <c r="F50" s="8">
        <v>109</v>
      </c>
      <c r="G50" s="35" t="s">
        <v>14</v>
      </c>
      <c r="H50" s="3" t="s">
        <v>15</v>
      </c>
      <c r="I50" s="23"/>
      <c r="J50" s="3" t="s">
        <v>16</v>
      </c>
      <c r="K50" s="3"/>
      <c r="L50" s="3"/>
      <c r="M50" s="27"/>
      <c r="N50" s="30"/>
      <c r="O50" s="85"/>
      <c r="P50" s="11"/>
    </row>
    <row r="51" spans="1:16" ht="15" customHeight="1" x14ac:dyDescent="0.25">
      <c r="A51" s="49">
        <f t="shared" si="2"/>
        <v>2026</v>
      </c>
      <c r="B51" s="1">
        <f t="shared" si="2"/>
        <v>12</v>
      </c>
      <c r="C51" s="1">
        <v>815</v>
      </c>
      <c r="D51" s="13">
        <v>45992</v>
      </c>
      <c r="E51" s="2">
        <v>4.2</v>
      </c>
      <c r="F51" s="7">
        <v>114</v>
      </c>
      <c r="G51" s="34" t="s">
        <v>14</v>
      </c>
      <c r="H51" s="1" t="s">
        <v>15</v>
      </c>
      <c r="I51" s="22"/>
      <c r="J51" s="1" t="s">
        <v>16</v>
      </c>
      <c r="K51" s="1"/>
      <c r="L51" s="1"/>
      <c r="M51" s="26"/>
      <c r="N51" s="29"/>
      <c r="O51" s="67"/>
      <c r="P51" s="11"/>
    </row>
    <row r="52" spans="1:16" ht="15" customHeight="1" x14ac:dyDescent="0.25">
      <c r="A52" s="49">
        <f t="shared" ref="A52:B60" si="3">A51</f>
        <v>2026</v>
      </c>
      <c r="B52" s="1">
        <f t="shared" si="3"/>
        <v>12</v>
      </c>
      <c r="C52" s="1">
        <v>901</v>
      </c>
      <c r="D52" s="13">
        <v>45992</v>
      </c>
      <c r="E52" s="2">
        <v>1.4</v>
      </c>
      <c r="F52" s="7">
        <v>132</v>
      </c>
      <c r="G52" s="34" t="s">
        <v>14</v>
      </c>
      <c r="H52" s="1" t="s">
        <v>15</v>
      </c>
      <c r="I52" s="7"/>
      <c r="J52" s="1" t="s">
        <v>16</v>
      </c>
      <c r="K52" s="1"/>
      <c r="L52" s="1"/>
      <c r="M52" s="26"/>
      <c r="N52" s="29"/>
      <c r="O52" s="67"/>
      <c r="P52" s="11"/>
    </row>
    <row r="53" spans="1:16" ht="15" customHeight="1" x14ac:dyDescent="0.25">
      <c r="A53" s="49">
        <f t="shared" si="3"/>
        <v>2026</v>
      </c>
      <c r="B53" s="1">
        <f t="shared" si="3"/>
        <v>12</v>
      </c>
      <c r="C53" s="1">
        <v>902</v>
      </c>
      <c r="D53" s="13">
        <v>45992</v>
      </c>
      <c r="E53" s="2">
        <v>1.4</v>
      </c>
      <c r="F53" s="7">
        <v>200</v>
      </c>
      <c r="G53" s="34" t="s">
        <v>14</v>
      </c>
      <c r="H53" s="1" t="s">
        <v>15</v>
      </c>
      <c r="I53" s="7"/>
      <c r="J53" s="1" t="s">
        <v>16</v>
      </c>
      <c r="K53" s="1"/>
      <c r="L53" s="1"/>
      <c r="M53" s="26"/>
      <c r="N53" s="29"/>
      <c r="O53" s="67"/>
      <c r="P53" s="11"/>
    </row>
    <row r="54" spans="1:16" ht="15" customHeight="1" x14ac:dyDescent="0.25">
      <c r="A54" s="49">
        <f t="shared" si="3"/>
        <v>2026</v>
      </c>
      <c r="B54" s="1">
        <f t="shared" si="3"/>
        <v>12</v>
      </c>
      <c r="C54" s="1">
        <v>906</v>
      </c>
      <c r="D54" s="13">
        <v>45992</v>
      </c>
      <c r="E54" s="2"/>
      <c r="F54" s="7">
        <v>141</v>
      </c>
      <c r="G54" s="34" t="s">
        <v>14</v>
      </c>
      <c r="H54" s="1" t="s">
        <v>15</v>
      </c>
      <c r="I54" s="7"/>
      <c r="J54" s="1" t="s">
        <v>16</v>
      </c>
      <c r="K54" s="1"/>
      <c r="L54" s="1"/>
      <c r="M54" s="26"/>
      <c r="N54" s="29"/>
      <c r="O54" s="67"/>
      <c r="P54" s="11"/>
    </row>
    <row r="55" spans="1:16" ht="15" customHeight="1" x14ac:dyDescent="0.25">
      <c r="A55" s="49">
        <f t="shared" si="3"/>
        <v>2026</v>
      </c>
      <c r="B55" s="1">
        <f t="shared" si="3"/>
        <v>12</v>
      </c>
      <c r="C55" s="1">
        <v>910</v>
      </c>
      <c r="D55" s="13">
        <v>45992</v>
      </c>
      <c r="E55" s="2">
        <v>1.6</v>
      </c>
      <c r="F55" s="7">
        <v>200</v>
      </c>
      <c r="G55" s="34" t="s">
        <v>14</v>
      </c>
      <c r="H55" s="1" t="s">
        <v>15</v>
      </c>
      <c r="I55" s="7"/>
      <c r="J55" s="1" t="s">
        <v>16</v>
      </c>
      <c r="K55" s="1"/>
      <c r="L55" s="1"/>
      <c r="M55" s="26"/>
      <c r="N55" s="29"/>
      <c r="O55" s="67"/>
      <c r="P55" s="11"/>
    </row>
    <row r="56" spans="1:16" ht="15" customHeight="1" x14ac:dyDescent="0.25">
      <c r="A56" s="49">
        <f t="shared" si="3"/>
        <v>2026</v>
      </c>
      <c r="B56" s="1">
        <f t="shared" si="3"/>
        <v>12</v>
      </c>
      <c r="C56" s="1">
        <v>912</v>
      </c>
      <c r="D56" s="13">
        <v>45992</v>
      </c>
      <c r="E56" s="2">
        <v>3.6</v>
      </c>
      <c r="F56" s="7">
        <v>151</v>
      </c>
      <c r="G56" s="34" t="s">
        <v>14</v>
      </c>
      <c r="H56" s="1" t="s">
        <v>15</v>
      </c>
      <c r="I56" s="7"/>
      <c r="J56" s="1" t="s">
        <v>16</v>
      </c>
      <c r="K56" s="1"/>
      <c r="L56" s="1"/>
      <c r="M56" s="26"/>
      <c r="N56" s="29"/>
      <c r="O56" s="67"/>
      <c r="P56" s="11"/>
    </row>
    <row r="57" spans="1:16" ht="15" customHeight="1" x14ac:dyDescent="0.25">
      <c r="A57" s="49">
        <f t="shared" si="3"/>
        <v>2026</v>
      </c>
      <c r="B57" s="1">
        <f t="shared" si="3"/>
        <v>12</v>
      </c>
      <c r="C57" s="1">
        <v>914</v>
      </c>
      <c r="D57" s="13">
        <v>45992</v>
      </c>
      <c r="E57" s="2"/>
      <c r="F57" s="7">
        <v>200</v>
      </c>
      <c r="G57" s="34" t="s">
        <v>14</v>
      </c>
      <c r="H57" s="1" t="s">
        <v>15</v>
      </c>
      <c r="I57" s="7"/>
      <c r="J57" s="1" t="s">
        <v>16</v>
      </c>
      <c r="K57" s="1"/>
      <c r="L57" s="1"/>
      <c r="M57" s="26"/>
      <c r="N57" s="29"/>
      <c r="O57" s="67"/>
      <c r="P57" s="11"/>
    </row>
    <row r="58" spans="1:16" ht="15" customHeight="1" x14ac:dyDescent="0.25">
      <c r="A58" s="49">
        <f t="shared" si="3"/>
        <v>2026</v>
      </c>
      <c r="B58" s="1">
        <f t="shared" si="3"/>
        <v>12</v>
      </c>
      <c r="C58" s="1">
        <v>915</v>
      </c>
      <c r="D58" s="13">
        <v>45992</v>
      </c>
      <c r="E58" s="2"/>
      <c r="F58" s="7">
        <v>200</v>
      </c>
      <c r="G58" s="34" t="s">
        <v>14</v>
      </c>
      <c r="H58" s="1" t="s">
        <v>15</v>
      </c>
      <c r="I58" s="7"/>
      <c r="J58" s="1" t="s">
        <v>16</v>
      </c>
      <c r="K58" s="1"/>
      <c r="L58" s="1"/>
      <c r="M58" s="26"/>
      <c r="N58" s="29"/>
      <c r="O58" s="67"/>
      <c r="P58" s="11"/>
    </row>
    <row r="59" spans="1:16" ht="15" customHeight="1" x14ac:dyDescent="0.25">
      <c r="A59" s="49">
        <f t="shared" si="3"/>
        <v>2026</v>
      </c>
      <c r="B59" s="1">
        <f t="shared" si="3"/>
        <v>12</v>
      </c>
      <c r="C59" s="1">
        <v>918</v>
      </c>
      <c r="D59" s="13">
        <v>45992</v>
      </c>
      <c r="E59" s="2">
        <v>2.4</v>
      </c>
      <c r="F59" s="7">
        <v>200</v>
      </c>
      <c r="G59" s="34" t="s">
        <v>14</v>
      </c>
      <c r="H59" s="1" t="s">
        <v>15</v>
      </c>
      <c r="I59" s="7"/>
      <c r="J59" s="1" t="s">
        <v>16</v>
      </c>
      <c r="K59" s="1"/>
      <c r="L59" s="1"/>
      <c r="M59" s="26"/>
      <c r="N59" s="29"/>
      <c r="O59" s="67"/>
      <c r="P59" s="11"/>
    </row>
    <row r="60" spans="1:16" ht="15" customHeight="1" thickBot="1" x14ac:dyDescent="0.3">
      <c r="A60" s="65">
        <f t="shared" si="3"/>
        <v>2026</v>
      </c>
      <c r="B60" s="58">
        <f t="shared" si="3"/>
        <v>12</v>
      </c>
      <c r="C60" s="58">
        <v>919</v>
      </c>
      <c r="D60" s="59">
        <v>45992</v>
      </c>
      <c r="E60" s="74"/>
      <c r="F60" s="60">
        <v>151</v>
      </c>
      <c r="G60" s="61" t="s">
        <v>14</v>
      </c>
      <c r="H60" s="58" t="s">
        <v>15</v>
      </c>
      <c r="I60" s="60"/>
      <c r="J60" s="58" t="s">
        <v>16</v>
      </c>
      <c r="K60" s="58"/>
      <c r="L60" s="58"/>
      <c r="M60" s="62"/>
      <c r="N60" s="63"/>
      <c r="O60" s="67"/>
      <c r="P60" s="11"/>
    </row>
    <row r="61" spans="1:16" ht="15" customHeight="1" x14ac:dyDescent="0.25">
      <c r="A61" s="68" t="s">
        <v>19</v>
      </c>
      <c r="B61" s="69"/>
      <c r="C61" s="69"/>
      <c r="D61" s="69"/>
      <c r="E61" s="69"/>
      <c r="F61" s="33"/>
      <c r="G61" s="69"/>
      <c r="H61" s="70"/>
      <c r="I61" s="33"/>
      <c r="J61" s="71"/>
      <c r="K61" s="71"/>
      <c r="L61" s="71"/>
      <c r="M61" s="72"/>
      <c r="N61" s="71"/>
      <c r="O61" s="11"/>
    </row>
    <row r="62" spans="1:16" ht="15" customHeight="1" x14ac:dyDescent="0.25">
      <c r="A62" s="33"/>
      <c r="B62" s="24"/>
      <c r="C62" s="24"/>
      <c r="D62" s="25"/>
      <c r="E62" s="24"/>
      <c r="F62" s="33"/>
      <c r="G62" s="24"/>
      <c r="H62" s="24"/>
      <c r="I62" s="33"/>
      <c r="J62" s="24"/>
      <c r="K62" s="24"/>
      <c r="L62" s="24"/>
      <c r="M62" s="40"/>
      <c r="N62" s="24"/>
      <c r="O62" s="11"/>
    </row>
    <row r="63" spans="1:16" ht="15" customHeight="1" x14ac:dyDescent="0.25">
      <c r="A63" s="33"/>
      <c r="B63" s="17"/>
      <c r="C63" s="17"/>
      <c r="D63" s="18"/>
      <c r="E63" s="33"/>
      <c r="F63" s="33"/>
      <c r="G63" s="33"/>
      <c r="H63" s="33"/>
      <c r="I63" s="33"/>
      <c r="J63" s="53"/>
      <c r="K63" s="33"/>
      <c r="L63" s="33"/>
      <c r="M63" s="55"/>
      <c r="N63" s="33"/>
      <c r="O63" s="11"/>
    </row>
    <row r="64" spans="1:16" ht="15" customHeight="1" x14ac:dyDescent="0.25">
      <c r="A64" s="33"/>
      <c r="B64" s="33"/>
      <c r="D64" s="18"/>
      <c r="E64" s="33"/>
      <c r="F64" s="33"/>
      <c r="G64" s="33"/>
      <c r="H64" s="33"/>
      <c r="I64" s="33"/>
      <c r="J64" s="53"/>
      <c r="K64" s="33"/>
      <c r="L64" s="33"/>
      <c r="M64" s="55"/>
      <c r="N64" s="33"/>
      <c r="O64" s="11"/>
    </row>
    <row r="65" spans="6:14" ht="15" customHeight="1" x14ac:dyDescent="0.25">
      <c r="F65" s="75"/>
      <c r="I65" s="76"/>
      <c r="N65" s="77"/>
    </row>
    <row r="67" spans="6:14" ht="15" customHeight="1" x14ac:dyDescent="0.25">
      <c r="H67" s="78"/>
      <c r="I67" s="79"/>
      <c r="J67" s="80"/>
      <c r="M67" s="81"/>
    </row>
    <row r="68" spans="6:14" ht="15" customHeight="1" x14ac:dyDescent="0.25">
      <c r="H68" s="78"/>
      <c r="I68" s="79"/>
      <c r="J68" s="80"/>
      <c r="M68" s="81"/>
    </row>
    <row r="69" spans="6:14" ht="15" customHeight="1" x14ac:dyDescent="0.25">
      <c r="H69" s="78"/>
      <c r="I69" s="79"/>
      <c r="J69" s="80"/>
      <c r="M69" s="81"/>
    </row>
    <row r="70" spans="6:14" ht="15" customHeight="1" x14ac:dyDescent="0.25">
      <c r="H70" s="78"/>
      <c r="I70" s="79"/>
      <c r="J70" s="80"/>
      <c r="M70" s="81"/>
    </row>
    <row r="71" spans="6:14" ht="15" customHeight="1" x14ac:dyDescent="0.25">
      <c r="H71" s="78"/>
      <c r="I71" s="79"/>
      <c r="J71" s="80"/>
      <c r="M71" s="81"/>
    </row>
    <row r="72" spans="6:14" ht="15" customHeight="1" x14ac:dyDescent="0.25">
      <c r="H72" s="78"/>
      <c r="I72" s="79"/>
      <c r="J72" s="80"/>
      <c r="M72" s="81"/>
    </row>
    <row r="73" spans="6:14" ht="15" customHeight="1" x14ac:dyDescent="0.25">
      <c r="H73" s="78"/>
      <c r="I73" s="79"/>
      <c r="J73" s="80"/>
      <c r="M73" s="81"/>
    </row>
    <row r="74" spans="6:14" ht="15" customHeight="1" x14ac:dyDescent="0.25">
      <c r="H74" s="78"/>
      <c r="I74" s="79"/>
      <c r="J74" s="80"/>
      <c r="M74" s="81"/>
    </row>
    <row r="75" spans="6:14" ht="15" customHeight="1" x14ac:dyDescent="0.25">
      <c r="H75" s="82"/>
      <c r="I75" s="79"/>
      <c r="M75" s="81"/>
    </row>
  </sheetData>
  <mergeCells count="1">
    <mergeCell ref="O49:O50"/>
  </mergeCells>
  <dataValidations count="3">
    <dataValidation type="list" allowBlank="1" showInputMessage="1" showErrorMessage="1" sqref="G2:G60" xr:uid="{AF35E080-8E2F-47D8-9466-28B114CEBAF6}">
      <formula1>"Not Processed, Processed"</formula1>
    </dataValidation>
    <dataValidation type="list" allowBlank="1" showInputMessage="1" showErrorMessage="1" sqref="H2:H60" xr:uid="{80B6DC57-F509-4857-A325-FD1E93C99B4E}">
      <formula1>"No Smelt Catch, Longfin Smelt "</formula1>
    </dataValidation>
    <dataValidation type="list" allowBlank="1" showInputMessage="1" showErrorMessage="1" sqref="J2:J60" xr:uid="{8CC6A7E4-4123-4615-AB4D-4A863B19DC31}">
      <formula1>"Preliminary, Completed"</formula1>
    </dataValidation>
  </dataValidations>
  <pageMargins left="0.7" right="0.7" top="0.75" bottom="0.75" header="0.3" footer="0.3"/>
  <pageSetup scal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7E10-DA15-48AF-8ECC-695810AE19B9}">
  <sheetPr>
    <pageSetUpPr fitToPage="1"/>
  </sheetPr>
  <dimension ref="A1:P61"/>
  <sheetViews>
    <sheetView topLeftCell="A36" zoomScaleNormal="100" workbookViewId="0">
      <selection activeCell="AA19" sqref="AA19"/>
    </sheetView>
  </sheetViews>
  <sheetFormatPr defaultRowHeight="15" customHeight="1" x14ac:dyDescent="0.25"/>
  <cols>
    <col min="1" max="2" width="6.42578125" style="19" customWidth="1"/>
    <col min="3" max="3" width="6.85546875" style="19" customWidth="1"/>
    <col min="4" max="4" width="10.140625" style="56" customWidth="1"/>
    <col min="5" max="5" width="8.42578125" style="19" customWidth="1"/>
    <col min="6" max="6" width="6.5703125" style="19" customWidth="1"/>
    <col min="7" max="7" width="13.5703125" style="19" customWidth="1"/>
    <col min="8" max="8" width="14.5703125" style="19" customWidth="1"/>
    <col min="9" max="9" width="6.85546875" style="19" customWidth="1"/>
    <col min="10" max="10" width="10.42578125" style="52" customWidth="1"/>
    <col min="11" max="12" width="6.42578125" style="19" customWidth="1"/>
    <col min="13" max="13" width="6.42578125" style="57" customWidth="1"/>
    <col min="14" max="14" width="9.85546875" style="19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4" t="s">
        <v>0</v>
      </c>
      <c r="B1" s="43" t="s">
        <v>1</v>
      </c>
      <c r="C1" s="43" t="s">
        <v>2</v>
      </c>
      <c r="D1" s="44" t="s">
        <v>11</v>
      </c>
      <c r="E1" s="43" t="s">
        <v>18</v>
      </c>
      <c r="F1" s="43" t="s">
        <v>10</v>
      </c>
      <c r="G1" s="45" t="s">
        <v>3</v>
      </c>
      <c r="H1" s="43" t="s">
        <v>4</v>
      </c>
      <c r="I1" s="43" t="s">
        <v>5</v>
      </c>
      <c r="J1" s="43" t="s">
        <v>9</v>
      </c>
      <c r="K1" s="43" t="s">
        <v>6</v>
      </c>
      <c r="L1" s="43" t="s">
        <v>7</v>
      </c>
      <c r="M1" s="46" t="s">
        <v>8</v>
      </c>
      <c r="N1" s="47" t="s">
        <v>12</v>
      </c>
      <c r="O1" s="12"/>
      <c r="P1" s="11"/>
    </row>
    <row r="2" spans="1:16" ht="15" customHeight="1" thickBot="1" x14ac:dyDescent="0.3">
      <c r="A2" s="48">
        <v>2026</v>
      </c>
      <c r="B2" s="1">
        <v>13</v>
      </c>
      <c r="C2" s="6">
        <v>306</v>
      </c>
      <c r="D2" s="16"/>
      <c r="E2" s="6"/>
      <c r="F2" s="9"/>
      <c r="G2" s="34" t="s">
        <v>20</v>
      </c>
      <c r="H2" s="5"/>
      <c r="I2" s="20"/>
      <c r="J2" s="5"/>
      <c r="K2" s="6"/>
      <c r="L2" s="6"/>
      <c r="M2" s="37"/>
      <c r="N2" s="31"/>
      <c r="O2" s="12"/>
      <c r="P2" s="11"/>
    </row>
    <row r="3" spans="1:16" ht="15" customHeight="1" thickBot="1" x14ac:dyDescent="0.3">
      <c r="A3" s="49">
        <f>A2</f>
        <v>2026</v>
      </c>
      <c r="B3" s="1">
        <f>B2</f>
        <v>13</v>
      </c>
      <c r="C3" s="5">
        <v>308</v>
      </c>
      <c r="D3" s="14"/>
      <c r="E3" s="5"/>
      <c r="F3" s="10"/>
      <c r="G3" s="34" t="s">
        <v>20</v>
      </c>
      <c r="H3" s="5"/>
      <c r="I3" s="21"/>
      <c r="J3" s="5"/>
      <c r="K3" s="5"/>
      <c r="L3" s="5"/>
      <c r="M3" s="38"/>
      <c r="N3" s="28"/>
      <c r="O3" s="12"/>
      <c r="P3" s="11"/>
    </row>
    <row r="4" spans="1:16" ht="15" customHeight="1" thickBot="1" x14ac:dyDescent="0.3">
      <c r="A4" s="49">
        <f t="shared" ref="A4:B19" si="0">A3</f>
        <v>2026</v>
      </c>
      <c r="B4" s="1">
        <f>B3</f>
        <v>13</v>
      </c>
      <c r="C4" s="5">
        <v>311</v>
      </c>
      <c r="D4" s="14"/>
      <c r="E4" s="5"/>
      <c r="F4" s="10"/>
      <c r="G4" s="34" t="s">
        <v>20</v>
      </c>
      <c r="H4" s="5"/>
      <c r="I4" s="21"/>
      <c r="J4" s="5"/>
      <c r="K4" s="5"/>
      <c r="L4" s="5"/>
      <c r="M4" s="38"/>
      <c r="N4" s="28"/>
      <c r="O4" s="12"/>
      <c r="P4" s="11"/>
    </row>
    <row r="5" spans="1:16" ht="15" customHeight="1" thickBot="1" x14ac:dyDescent="0.3">
      <c r="A5" s="49">
        <f t="shared" si="0"/>
        <v>2026</v>
      </c>
      <c r="B5" s="1">
        <f t="shared" si="0"/>
        <v>13</v>
      </c>
      <c r="C5" s="5">
        <v>315</v>
      </c>
      <c r="D5" s="16"/>
      <c r="E5" s="6"/>
      <c r="F5" s="9"/>
      <c r="G5" s="34" t="s">
        <v>20</v>
      </c>
      <c r="H5" s="5"/>
      <c r="I5" s="20"/>
      <c r="J5" s="5"/>
      <c r="K5" s="6"/>
      <c r="L5" s="6"/>
      <c r="M5" s="39"/>
      <c r="N5" s="32"/>
      <c r="O5" s="12"/>
      <c r="P5" s="11"/>
    </row>
    <row r="6" spans="1:16" ht="15" customHeight="1" thickBot="1" x14ac:dyDescent="0.3">
      <c r="A6" s="49">
        <f t="shared" si="0"/>
        <v>2026</v>
      </c>
      <c r="B6" s="1">
        <f t="shared" si="0"/>
        <v>13</v>
      </c>
      <c r="C6" s="5">
        <v>322</v>
      </c>
      <c r="D6" s="14"/>
      <c r="E6" s="5"/>
      <c r="F6" s="10"/>
      <c r="G6" s="34" t="s">
        <v>20</v>
      </c>
      <c r="H6" s="5"/>
      <c r="I6" s="21"/>
      <c r="J6" s="5"/>
      <c r="K6" s="5"/>
      <c r="L6" s="5"/>
      <c r="M6" s="38"/>
      <c r="N6" s="28"/>
      <c r="O6" s="12"/>
      <c r="P6" s="11"/>
    </row>
    <row r="7" spans="1:16" ht="15" customHeight="1" thickBot="1" x14ac:dyDescent="0.3">
      <c r="A7" s="49">
        <f t="shared" si="0"/>
        <v>2026</v>
      </c>
      <c r="B7" s="1">
        <f t="shared" si="0"/>
        <v>13</v>
      </c>
      <c r="C7" s="5">
        <v>323</v>
      </c>
      <c r="D7" s="14"/>
      <c r="E7" s="5"/>
      <c r="F7" s="10"/>
      <c r="G7" s="34" t="s">
        <v>20</v>
      </c>
      <c r="H7" s="5"/>
      <c r="I7" s="21"/>
      <c r="J7" s="5"/>
      <c r="K7" s="5"/>
      <c r="L7" s="5"/>
      <c r="M7" s="38"/>
      <c r="N7" s="28"/>
      <c r="O7" s="12"/>
      <c r="P7" s="11"/>
    </row>
    <row r="8" spans="1:16" ht="15" customHeight="1" thickBot="1" x14ac:dyDescent="0.3">
      <c r="A8" s="49">
        <f t="shared" si="0"/>
        <v>2026</v>
      </c>
      <c r="B8" s="1">
        <f t="shared" si="0"/>
        <v>13</v>
      </c>
      <c r="C8" s="5">
        <v>327</v>
      </c>
      <c r="D8" s="14"/>
      <c r="E8" s="5"/>
      <c r="F8" s="10"/>
      <c r="G8" s="34" t="s">
        <v>20</v>
      </c>
      <c r="H8" s="5"/>
      <c r="I8" s="21"/>
      <c r="J8" s="5"/>
      <c r="K8" s="5"/>
      <c r="L8" s="5"/>
      <c r="M8" s="38"/>
      <c r="N8" s="28"/>
      <c r="O8" s="12"/>
      <c r="P8" s="11"/>
    </row>
    <row r="9" spans="1:16" ht="15" customHeight="1" thickBot="1" x14ac:dyDescent="0.3">
      <c r="A9" s="49">
        <f t="shared" si="0"/>
        <v>2026</v>
      </c>
      <c r="B9" s="1">
        <f t="shared" si="0"/>
        <v>13</v>
      </c>
      <c r="C9" s="5">
        <v>328</v>
      </c>
      <c r="D9" s="14"/>
      <c r="E9" s="5"/>
      <c r="F9" s="10"/>
      <c r="G9" s="34" t="s">
        <v>20</v>
      </c>
      <c r="H9" s="5"/>
      <c r="I9" s="21"/>
      <c r="J9" s="5"/>
      <c r="K9" s="5"/>
      <c r="L9" s="5"/>
      <c r="M9" s="38"/>
      <c r="N9" s="28"/>
      <c r="O9" s="12"/>
      <c r="P9" s="11"/>
    </row>
    <row r="10" spans="1:16" ht="15" customHeight="1" thickBot="1" x14ac:dyDescent="0.3">
      <c r="A10" s="49">
        <f t="shared" si="0"/>
        <v>2026</v>
      </c>
      <c r="B10" s="1">
        <f t="shared" si="0"/>
        <v>13</v>
      </c>
      <c r="C10" s="5">
        <v>329</v>
      </c>
      <c r="D10" s="14"/>
      <c r="E10" s="5"/>
      <c r="F10" s="10"/>
      <c r="G10" s="34" t="s">
        <v>20</v>
      </c>
      <c r="H10" s="5"/>
      <c r="I10" s="21"/>
      <c r="J10" s="5"/>
      <c r="K10" s="5"/>
      <c r="L10" s="5"/>
      <c r="M10" s="38"/>
      <c r="N10" s="28"/>
      <c r="O10" s="12"/>
      <c r="P10" s="11"/>
    </row>
    <row r="11" spans="1:16" ht="15" customHeight="1" thickBot="1" x14ac:dyDescent="0.3">
      <c r="A11" s="49">
        <f t="shared" si="0"/>
        <v>2026</v>
      </c>
      <c r="B11" s="1">
        <f t="shared" si="0"/>
        <v>13</v>
      </c>
      <c r="C11" s="5">
        <v>330</v>
      </c>
      <c r="D11" s="14"/>
      <c r="E11" s="5"/>
      <c r="F11" s="10"/>
      <c r="G11" s="34" t="s">
        <v>20</v>
      </c>
      <c r="H11" s="5"/>
      <c r="I11" s="21"/>
      <c r="J11" s="5"/>
      <c r="K11" s="5"/>
      <c r="L11" s="5"/>
      <c r="M11" s="38"/>
      <c r="N11" s="28"/>
      <c r="O11" s="12"/>
      <c r="P11" s="11"/>
    </row>
    <row r="12" spans="1:16" ht="15" customHeight="1" thickBot="1" x14ac:dyDescent="0.3">
      <c r="A12" s="49">
        <f t="shared" si="0"/>
        <v>2026</v>
      </c>
      <c r="B12" s="1">
        <f t="shared" si="0"/>
        <v>13</v>
      </c>
      <c r="C12" s="5">
        <v>335</v>
      </c>
      <c r="D12" s="16"/>
      <c r="E12" s="6"/>
      <c r="F12" s="9"/>
      <c r="G12" s="34" t="s">
        <v>20</v>
      </c>
      <c r="H12" s="6"/>
      <c r="I12" s="20"/>
      <c r="J12" s="6"/>
      <c r="K12" s="6"/>
      <c r="L12" s="6"/>
      <c r="M12" s="39"/>
      <c r="N12" s="32"/>
      <c r="O12" s="12"/>
      <c r="P12" s="11"/>
    </row>
    <row r="13" spans="1:16" ht="15" customHeight="1" thickBot="1" x14ac:dyDescent="0.3">
      <c r="A13" s="49">
        <f t="shared" si="0"/>
        <v>2026</v>
      </c>
      <c r="B13" s="1">
        <f t="shared" si="0"/>
        <v>13</v>
      </c>
      <c r="C13" s="5">
        <v>336</v>
      </c>
      <c r="D13" s="14"/>
      <c r="E13" s="5"/>
      <c r="F13" s="10"/>
      <c r="G13" s="34" t="s">
        <v>20</v>
      </c>
      <c r="H13" s="5"/>
      <c r="I13" s="21"/>
      <c r="J13" s="5"/>
      <c r="K13" s="5"/>
      <c r="L13" s="5"/>
      <c r="M13" s="38"/>
      <c r="N13" s="28"/>
      <c r="O13" s="12"/>
      <c r="P13" s="11"/>
    </row>
    <row r="14" spans="1:16" ht="15" customHeight="1" thickBot="1" x14ac:dyDescent="0.3">
      <c r="A14" s="49">
        <f t="shared" si="0"/>
        <v>2026</v>
      </c>
      <c r="B14" s="1">
        <f t="shared" si="0"/>
        <v>13</v>
      </c>
      <c r="C14" s="5">
        <v>338</v>
      </c>
      <c r="D14" s="14">
        <v>46006</v>
      </c>
      <c r="E14" s="5">
        <v>5.7</v>
      </c>
      <c r="F14" s="10">
        <v>92</v>
      </c>
      <c r="G14" s="34" t="s">
        <v>20</v>
      </c>
      <c r="H14" s="5"/>
      <c r="I14" s="21"/>
      <c r="J14" s="5"/>
      <c r="K14" s="5"/>
      <c r="L14" s="5"/>
      <c r="M14" s="38"/>
      <c r="N14" s="28"/>
      <c r="O14" s="12"/>
      <c r="P14" s="11"/>
    </row>
    <row r="15" spans="1:16" ht="15" customHeight="1" thickBot="1" x14ac:dyDescent="0.3">
      <c r="A15" s="49">
        <f t="shared" si="0"/>
        <v>2026</v>
      </c>
      <c r="B15" s="1">
        <f t="shared" si="0"/>
        <v>13</v>
      </c>
      <c r="C15" s="1">
        <v>340</v>
      </c>
      <c r="D15" s="13">
        <v>46006</v>
      </c>
      <c r="E15" s="5">
        <v>13.1</v>
      </c>
      <c r="F15" s="10">
        <v>68</v>
      </c>
      <c r="G15" s="34" t="s">
        <v>20</v>
      </c>
      <c r="H15" s="5"/>
      <c r="I15" s="21"/>
      <c r="J15" s="5"/>
      <c r="K15" s="5"/>
      <c r="L15" s="5"/>
      <c r="M15" s="38"/>
      <c r="N15" s="28"/>
      <c r="O15" s="12"/>
      <c r="P15" s="11"/>
    </row>
    <row r="16" spans="1:16" ht="15" customHeight="1" thickBot="1" x14ac:dyDescent="0.3">
      <c r="A16" s="49">
        <f t="shared" si="0"/>
        <v>2026</v>
      </c>
      <c r="B16" s="1">
        <f t="shared" si="0"/>
        <v>13</v>
      </c>
      <c r="C16" s="1">
        <v>342</v>
      </c>
      <c r="D16" s="13">
        <v>46006</v>
      </c>
      <c r="E16" s="2">
        <v>10.4</v>
      </c>
      <c r="F16" s="7">
        <v>55</v>
      </c>
      <c r="G16" s="34" t="s">
        <v>20</v>
      </c>
      <c r="H16" s="1"/>
      <c r="I16" s="22"/>
      <c r="J16" s="5"/>
      <c r="K16" s="1"/>
      <c r="L16" s="1"/>
      <c r="M16" s="26"/>
      <c r="N16" s="29"/>
      <c r="O16" s="12"/>
      <c r="P16" s="11"/>
    </row>
    <row r="17" spans="1:16" ht="15" customHeight="1" thickBot="1" x14ac:dyDescent="0.3">
      <c r="A17" s="49">
        <f t="shared" si="0"/>
        <v>2026</v>
      </c>
      <c r="B17" s="1">
        <f t="shared" si="0"/>
        <v>13</v>
      </c>
      <c r="C17" s="1">
        <v>343</v>
      </c>
      <c r="D17" s="13">
        <v>46006</v>
      </c>
      <c r="E17" s="2">
        <v>10.8</v>
      </c>
      <c r="F17" s="7">
        <v>71</v>
      </c>
      <c r="G17" s="34" t="s">
        <v>20</v>
      </c>
      <c r="H17" s="1"/>
      <c r="I17" s="22"/>
      <c r="J17" s="5"/>
      <c r="K17" s="1"/>
      <c r="L17" s="1"/>
      <c r="M17" s="26"/>
      <c r="N17" s="29"/>
      <c r="O17" s="12"/>
      <c r="P17" s="11"/>
    </row>
    <row r="18" spans="1:16" ht="15" customHeight="1" thickBot="1" x14ac:dyDescent="0.3">
      <c r="A18" s="49">
        <f t="shared" si="0"/>
        <v>2026</v>
      </c>
      <c r="B18" s="1">
        <f t="shared" si="0"/>
        <v>13</v>
      </c>
      <c r="C18" s="1">
        <v>344</v>
      </c>
      <c r="D18" s="13">
        <v>46006</v>
      </c>
      <c r="E18" s="2">
        <v>9.3000000000000007</v>
      </c>
      <c r="F18" s="7">
        <v>63</v>
      </c>
      <c r="G18" s="34" t="s">
        <v>20</v>
      </c>
      <c r="H18" s="1"/>
      <c r="I18" s="22"/>
      <c r="J18" s="5"/>
      <c r="K18" s="1"/>
      <c r="L18" s="1"/>
      <c r="M18" s="26"/>
      <c r="N18" s="29"/>
      <c r="O18" s="12"/>
      <c r="P18" s="11"/>
    </row>
    <row r="19" spans="1:16" ht="15" customHeight="1" thickBot="1" x14ac:dyDescent="0.3">
      <c r="A19" s="49">
        <f t="shared" si="0"/>
        <v>2026</v>
      </c>
      <c r="B19" s="1">
        <f t="shared" si="0"/>
        <v>13</v>
      </c>
      <c r="C19" s="1">
        <v>345</v>
      </c>
      <c r="D19" s="13">
        <v>46006</v>
      </c>
      <c r="E19" s="2">
        <v>8.1999999999999993</v>
      </c>
      <c r="F19" s="7">
        <v>77</v>
      </c>
      <c r="G19" s="34" t="s">
        <v>20</v>
      </c>
      <c r="H19" s="1"/>
      <c r="I19" s="22"/>
      <c r="J19" s="5"/>
      <c r="K19" s="1"/>
      <c r="L19" s="1"/>
      <c r="M19" s="26"/>
      <c r="N19" s="29"/>
      <c r="O19" s="12"/>
      <c r="P19" s="11"/>
    </row>
    <row r="20" spans="1:16" ht="15" customHeight="1" thickBot="1" x14ac:dyDescent="0.3">
      <c r="A20" s="49">
        <f t="shared" ref="A20:B35" si="1">A19</f>
        <v>2026</v>
      </c>
      <c r="B20" s="1">
        <f t="shared" si="1"/>
        <v>13</v>
      </c>
      <c r="C20" s="1">
        <v>346</v>
      </c>
      <c r="D20" s="13">
        <v>46006</v>
      </c>
      <c r="E20" s="2">
        <v>5.2</v>
      </c>
      <c r="F20" s="7">
        <v>74</v>
      </c>
      <c r="G20" s="34" t="s">
        <v>20</v>
      </c>
      <c r="H20" s="1"/>
      <c r="I20" s="22"/>
      <c r="J20" s="5"/>
      <c r="K20" s="1"/>
      <c r="L20" s="1"/>
      <c r="M20" s="26"/>
      <c r="N20" s="29"/>
      <c r="O20" s="12"/>
      <c r="P20" s="11"/>
    </row>
    <row r="21" spans="1:16" ht="15" customHeight="1" thickBot="1" x14ac:dyDescent="0.3">
      <c r="A21" s="49">
        <f t="shared" si="1"/>
        <v>2026</v>
      </c>
      <c r="B21" s="1">
        <f t="shared" si="1"/>
        <v>13</v>
      </c>
      <c r="C21" s="1">
        <v>347</v>
      </c>
      <c r="D21" s="13">
        <v>46006</v>
      </c>
      <c r="E21" s="2">
        <v>2.8</v>
      </c>
      <c r="F21" s="7">
        <v>168</v>
      </c>
      <c r="G21" s="34" t="s">
        <v>20</v>
      </c>
      <c r="H21" s="1"/>
      <c r="I21" s="22"/>
      <c r="J21" s="5"/>
      <c r="K21" s="1"/>
      <c r="L21" s="1"/>
      <c r="M21" s="26"/>
      <c r="N21" s="29"/>
      <c r="O21" s="12"/>
      <c r="P21" s="11"/>
    </row>
    <row r="22" spans="1:16" ht="15" customHeight="1" thickBot="1" x14ac:dyDescent="0.3">
      <c r="A22" s="49">
        <f t="shared" si="1"/>
        <v>2026</v>
      </c>
      <c r="B22" s="1">
        <f t="shared" si="1"/>
        <v>13</v>
      </c>
      <c r="C22" s="1">
        <v>348</v>
      </c>
      <c r="D22" s="13">
        <v>46006</v>
      </c>
      <c r="E22" s="2">
        <v>2.4</v>
      </c>
      <c r="F22" s="7">
        <v>159</v>
      </c>
      <c r="G22" s="34" t="s">
        <v>20</v>
      </c>
      <c r="H22" s="1"/>
      <c r="I22" s="22"/>
      <c r="J22" s="5"/>
      <c r="K22" s="1"/>
      <c r="L22" s="1"/>
      <c r="M22" s="26"/>
      <c r="N22" s="29"/>
      <c r="O22" s="12"/>
      <c r="P22" s="11"/>
    </row>
    <row r="23" spans="1:16" ht="15" customHeight="1" thickBot="1" x14ac:dyDescent="0.3">
      <c r="A23" s="49">
        <f t="shared" si="1"/>
        <v>2026</v>
      </c>
      <c r="B23" s="1">
        <f t="shared" si="1"/>
        <v>13</v>
      </c>
      <c r="C23" s="1">
        <v>349</v>
      </c>
      <c r="D23" s="13">
        <v>46006</v>
      </c>
      <c r="E23" s="2">
        <v>6.8</v>
      </c>
      <c r="F23" s="7">
        <v>136</v>
      </c>
      <c r="G23" s="34" t="s">
        <v>20</v>
      </c>
      <c r="H23" s="1"/>
      <c r="I23" s="22"/>
      <c r="J23" s="1"/>
      <c r="K23" s="1"/>
      <c r="L23" s="1"/>
      <c r="M23" s="26"/>
      <c r="N23" s="29"/>
      <c r="O23" s="12"/>
      <c r="P23" s="11"/>
    </row>
    <row r="24" spans="1:16" ht="15" customHeight="1" thickBot="1" x14ac:dyDescent="0.3">
      <c r="A24" s="49">
        <f t="shared" si="1"/>
        <v>2026</v>
      </c>
      <c r="B24" s="1">
        <f t="shared" si="1"/>
        <v>13</v>
      </c>
      <c r="C24" s="1">
        <v>401</v>
      </c>
      <c r="D24" s="50">
        <v>46006</v>
      </c>
      <c r="E24" s="2">
        <v>6.9</v>
      </c>
      <c r="F24" s="7">
        <v>78</v>
      </c>
      <c r="G24" s="34" t="s">
        <v>20</v>
      </c>
      <c r="H24" s="1"/>
      <c r="I24" s="22"/>
      <c r="J24" s="5"/>
      <c r="K24" s="1"/>
      <c r="L24" s="1"/>
      <c r="M24" s="26"/>
      <c r="N24" s="29"/>
      <c r="O24" s="12"/>
      <c r="P24" s="11"/>
    </row>
    <row r="25" spans="1:16" ht="15" customHeight="1" thickBot="1" x14ac:dyDescent="0.3">
      <c r="A25" s="49">
        <f t="shared" si="1"/>
        <v>2026</v>
      </c>
      <c r="B25" s="1">
        <f t="shared" si="1"/>
        <v>13</v>
      </c>
      <c r="C25" s="5">
        <v>404</v>
      </c>
      <c r="D25" s="14"/>
      <c r="E25" s="2"/>
      <c r="F25" s="7"/>
      <c r="G25" s="34" t="s">
        <v>20</v>
      </c>
      <c r="H25" s="1"/>
      <c r="I25" s="22"/>
      <c r="J25" s="5"/>
      <c r="K25" s="1"/>
      <c r="L25" s="1"/>
      <c r="M25" s="26"/>
      <c r="N25" s="29"/>
      <c r="O25" s="12"/>
      <c r="P25" s="11"/>
    </row>
    <row r="26" spans="1:16" ht="15" customHeight="1" thickBot="1" x14ac:dyDescent="0.3">
      <c r="A26" s="49">
        <f t="shared" si="1"/>
        <v>2026</v>
      </c>
      <c r="B26" s="1">
        <f t="shared" si="1"/>
        <v>13</v>
      </c>
      <c r="C26" s="1">
        <v>405</v>
      </c>
      <c r="D26" s="13"/>
      <c r="E26" s="2"/>
      <c r="F26" s="7"/>
      <c r="G26" s="34" t="s">
        <v>20</v>
      </c>
      <c r="H26" s="1"/>
      <c r="I26" s="22"/>
      <c r="J26" s="1"/>
      <c r="K26" s="1"/>
      <c r="L26" s="1"/>
      <c r="M26" s="26"/>
      <c r="N26" s="29"/>
      <c r="O26" s="12"/>
      <c r="P26" s="11"/>
    </row>
    <row r="27" spans="1:16" ht="15" customHeight="1" thickBot="1" x14ac:dyDescent="0.3">
      <c r="A27" s="49">
        <f t="shared" si="1"/>
        <v>2026</v>
      </c>
      <c r="B27" s="1">
        <f t="shared" si="1"/>
        <v>13</v>
      </c>
      <c r="C27" s="1">
        <v>411</v>
      </c>
      <c r="D27" s="13"/>
      <c r="E27" s="2"/>
      <c r="F27" s="7"/>
      <c r="G27" s="34" t="s">
        <v>20</v>
      </c>
      <c r="H27" s="1"/>
      <c r="I27" s="22"/>
      <c r="J27" s="1"/>
      <c r="K27" s="1"/>
      <c r="L27" s="1"/>
      <c r="M27" s="26"/>
      <c r="N27" s="29"/>
      <c r="O27" s="12"/>
      <c r="P27" s="11"/>
    </row>
    <row r="28" spans="1:16" ht="15" customHeight="1" thickBot="1" x14ac:dyDescent="0.3">
      <c r="A28" s="49">
        <f t="shared" si="1"/>
        <v>2026</v>
      </c>
      <c r="B28" s="1">
        <f t="shared" si="1"/>
        <v>13</v>
      </c>
      <c r="C28" s="1">
        <v>418</v>
      </c>
      <c r="D28" s="13"/>
      <c r="E28" s="2"/>
      <c r="F28" s="7"/>
      <c r="G28" s="34" t="s">
        <v>20</v>
      </c>
      <c r="H28" s="1"/>
      <c r="I28" s="22"/>
      <c r="J28" s="1"/>
      <c r="K28" s="1"/>
      <c r="L28" s="1"/>
      <c r="M28" s="26"/>
      <c r="N28" s="29"/>
      <c r="O28" s="12"/>
      <c r="P28" s="11"/>
    </row>
    <row r="29" spans="1:16" ht="15" customHeight="1" thickBot="1" x14ac:dyDescent="0.3">
      <c r="A29" s="49">
        <f t="shared" si="1"/>
        <v>2026</v>
      </c>
      <c r="B29" s="1">
        <f t="shared" si="1"/>
        <v>13</v>
      </c>
      <c r="C29" s="1">
        <v>501</v>
      </c>
      <c r="D29" s="13"/>
      <c r="E29" s="2"/>
      <c r="F29" s="7"/>
      <c r="G29" s="34" t="s">
        <v>20</v>
      </c>
      <c r="H29" s="1"/>
      <c r="I29" s="22"/>
      <c r="J29" s="1"/>
      <c r="K29" s="1"/>
      <c r="L29" s="1"/>
      <c r="M29" s="26"/>
      <c r="N29" s="29"/>
      <c r="O29" s="12"/>
      <c r="P29" s="11"/>
    </row>
    <row r="30" spans="1:16" ht="15" customHeight="1" thickBot="1" x14ac:dyDescent="0.3">
      <c r="A30" s="49">
        <f t="shared" si="1"/>
        <v>2026</v>
      </c>
      <c r="B30" s="1">
        <f t="shared" si="1"/>
        <v>13</v>
      </c>
      <c r="C30" s="1">
        <v>504</v>
      </c>
      <c r="D30" s="13"/>
      <c r="E30" s="2"/>
      <c r="F30" s="7"/>
      <c r="G30" s="34" t="s">
        <v>20</v>
      </c>
      <c r="H30" s="1"/>
      <c r="I30" s="22"/>
      <c r="J30" s="1"/>
      <c r="K30" s="1"/>
      <c r="L30" s="1"/>
      <c r="M30" s="26"/>
      <c r="N30" s="29"/>
      <c r="O30" s="12"/>
      <c r="P30" s="11"/>
    </row>
    <row r="31" spans="1:16" ht="15" customHeight="1" thickBot="1" x14ac:dyDescent="0.3">
      <c r="A31" s="49">
        <f t="shared" si="1"/>
        <v>2026</v>
      </c>
      <c r="B31" s="1">
        <f t="shared" si="1"/>
        <v>13</v>
      </c>
      <c r="C31" s="1">
        <v>508</v>
      </c>
      <c r="D31" s="13"/>
      <c r="E31" s="2"/>
      <c r="F31" s="7"/>
      <c r="G31" s="34" t="s">
        <v>20</v>
      </c>
      <c r="H31" s="1"/>
      <c r="I31" s="36"/>
      <c r="J31" s="51"/>
      <c r="K31" s="1"/>
      <c r="L31" s="1"/>
      <c r="M31" s="2"/>
      <c r="N31" s="29"/>
      <c r="O31" s="12"/>
      <c r="P31" s="11"/>
    </row>
    <row r="32" spans="1:16" ht="15" customHeight="1" thickBot="1" x14ac:dyDescent="0.3">
      <c r="A32" s="49">
        <f t="shared" si="1"/>
        <v>2026</v>
      </c>
      <c r="B32" s="1">
        <f t="shared" si="1"/>
        <v>13</v>
      </c>
      <c r="C32" s="1">
        <v>513</v>
      </c>
      <c r="D32" s="13"/>
      <c r="E32" s="2"/>
      <c r="F32" s="7"/>
      <c r="G32" s="34" t="s">
        <v>20</v>
      </c>
      <c r="H32" s="1"/>
      <c r="I32" s="36"/>
      <c r="K32" s="1"/>
      <c r="L32" s="1"/>
      <c r="M32" s="2"/>
      <c r="N32" s="29"/>
      <c r="O32" s="11"/>
      <c r="P32" s="11"/>
    </row>
    <row r="33" spans="1:16" ht="15" customHeight="1" thickBot="1" x14ac:dyDescent="0.3">
      <c r="A33" s="49">
        <f t="shared" si="1"/>
        <v>2026</v>
      </c>
      <c r="B33" s="1">
        <f t="shared" si="1"/>
        <v>13</v>
      </c>
      <c r="C33" s="1">
        <v>519</v>
      </c>
      <c r="D33" s="13"/>
      <c r="E33" s="2"/>
      <c r="F33" s="7"/>
      <c r="G33" s="34" t="s">
        <v>20</v>
      </c>
      <c r="H33" s="1"/>
      <c r="I33" s="22"/>
      <c r="J33" s="1"/>
      <c r="K33" s="1"/>
      <c r="L33" s="1"/>
      <c r="M33" s="26"/>
      <c r="N33" s="29"/>
      <c r="O33" s="12"/>
      <c r="P33" s="11"/>
    </row>
    <row r="34" spans="1:16" ht="15" customHeight="1" thickBot="1" x14ac:dyDescent="0.3">
      <c r="A34" s="49">
        <f t="shared" si="1"/>
        <v>2026</v>
      </c>
      <c r="B34" s="1">
        <f t="shared" si="1"/>
        <v>13</v>
      </c>
      <c r="C34" s="1">
        <v>520</v>
      </c>
      <c r="D34" s="13"/>
      <c r="E34" s="2"/>
      <c r="F34" s="7"/>
      <c r="G34" s="34" t="s">
        <v>20</v>
      </c>
      <c r="H34" s="1"/>
      <c r="I34" s="22"/>
      <c r="J34" s="1"/>
      <c r="K34" s="1"/>
      <c r="L34" s="1"/>
      <c r="M34" s="26"/>
      <c r="N34" s="29"/>
      <c r="O34" s="12"/>
      <c r="P34" s="11"/>
    </row>
    <row r="35" spans="1:16" ht="15" customHeight="1" thickBot="1" x14ac:dyDescent="0.3">
      <c r="A35" s="49">
        <f t="shared" si="1"/>
        <v>2026</v>
      </c>
      <c r="B35" s="1">
        <f t="shared" si="1"/>
        <v>13</v>
      </c>
      <c r="C35" s="1">
        <v>602</v>
      </c>
      <c r="D35" s="13"/>
      <c r="E35" s="2"/>
      <c r="F35" s="7"/>
      <c r="G35" s="34" t="s">
        <v>20</v>
      </c>
      <c r="H35" s="1"/>
      <c r="I35" s="22"/>
      <c r="J35" s="1"/>
      <c r="K35" s="1"/>
      <c r="L35" s="1"/>
      <c r="M35" s="26"/>
      <c r="N35" s="29"/>
      <c r="O35" s="12"/>
      <c r="P35" s="11"/>
    </row>
    <row r="36" spans="1:16" ht="15" customHeight="1" x14ac:dyDescent="0.25">
      <c r="A36" s="49">
        <f t="shared" ref="A36:B51" si="2">A35</f>
        <v>2026</v>
      </c>
      <c r="B36" s="1">
        <f t="shared" si="2"/>
        <v>13</v>
      </c>
      <c r="C36" s="1">
        <v>606</v>
      </c>
      <c r="D36" s="13"/>
      <c r="E36" s="2"/>
      <c r="F36" s="7"/>
      <c r="G36" s="34" t="s">
        <v>20</v>
      </c>
      <c r="H36" s="1"/>
      <c r="I36" s="22"/>
      <c r="J36" s="1"/>
      <c r="K36" s="1"/>
      <c r="L36" s="1"/>
      <c r="M36" s="26"/>
      <c r="N36" s="29"/>
      <c r="O36" s="11"/>
      <c r="P36" s="11"/>
    </row>
    <row r="37" spans="1:16" ht="15" customHeight="1" x14ac:dyDescent="0.25">
      <c r="A37" s="49">
        <f t="shared" si="2"/>
        <v>2026</v>
      </c>
      <c r="B37" s="1">
        <f t="shared" si="2"/>
        <v>13</v>
      </c>
      <c r="C37" s="1">
        <v>609</v>
      </c>
      <c r="D37" s="13"/>
      <c r="E37" s="2"/>
      <c r="F37" s="7"/>
      <c r="G37" s="34" t="s">
        <v>20</v>
      </c>
      <c r="H37" s="1"/>
      <c r="I37" s="36"/>
      <c r="J37" s="1"/>
      <c r="K37" s="1"/>
      <c r="L37" s="1"/>
      <c r="M37" s="26"/>
      <c r="N37" s="29"/>
      <c r="O37" s="11"/>
      <c r="P37" s="11"/>
    </row>
    <row r="38" spans="1:16" ht="15" customHeight="1" x14ac:dyDescent="0.25">
      <c r="A38" s="49">
        <f t="shared" si="2"/>
        <v>2026</v>
      </c>
      <c r="B38" s="1">
        <f t="shared" si="2"/>
        <v>13</v>
      </c>
      <c r="C38" s="1">
        <v>610</v>
      </c>
      <c r="D38" s="13"/>
      <c r="E38" s="2"/>
      <c r="F38" s="7"/>
      <c r="G38" s="34" t="s">
        <v>20</v>
      </c>
      <c r="H38" s="1"/>
      <c r="I38" s="36"/>
      <c r="J38" s="1"/>
      <c r="K38" s="1"/>
      <c r="L38" s="1"/>
      <c r="M38" s="26"/>
      <c r="N38" s="29"/>
      <c r="O38" s="11"/>
      <c r="P38" s="11"/>
    </row>
    <row r="39" spans="1:16" ht="15" customHeight="1" x14ac:dyDescent="0.25">
      <c r="A39" s="49">
        <f t="shared" si="2"/>
        <v>2026</v>
      </c>
      <c r="B39" s="1">
        <f t="shared" si="2"/>
        <v>13</v>
      </c>
      <c r="C39" s="1">
        <v>703</v>
      </c>
      <c r="D39" s="13"/>
      <c r="E39" s="2"/>
      <c r="F39" s="7"/>
      <c r="G39" s="34" t="s">
        <v>20</v>
      </c>
      <c r="H39" s="1"/>
      <c r="I39" s="22"/>
      <c r="J39" s="1"/>
      <c r="K39" s="1"/>
      <c r="L39" s="1"/>
      <c r="M39" s="26"/>
      <c r="N39" s="29"/>
      <c r="P39" s="11"/>
    </row>
    <row r="40" spans="1:16" ht="15" customHeight="1" x14ac:dyDescent="0.25">
      <c r="A40" s="49">
        <f t="shared" si="2"/>
        <v>2026</v>
      </c>
      <c r="B40" s="1">
        <f t="shared" si="2"/>
        <v>13</v>
      </c>
      <c r="C40" s="1">
        <v>704</v>
      </c>
      <c r="D40" s="13"/>
      <c r="E40" s="2"/>
      <c r="F40" s="7"/>
      <c r="G40" s="34" t="s">
        <v>20</v>
      </c>
      <c r="H40" s="1"/>
      <c r="I40" s="22"/>
      <c r="J40" s="1"/>
      <c r="K40" s="1"/>
      <c r="L40" s="1"/>
      <c r="M40" s="26"/>
      <c r="N40" s="29"/>
      <c r="O40" s="11"/>
      <c r="P40" s="11"/>
    </row>
    <row r="41" spans="1:16" ht="15" customHeight="1" x14ac:dyDescent="0.25">
      <c r="A41" s="49">
        <f t="shared" si="2"/>
        <v>2026</v>
      </c>
      <c r="B41" s="1">
        <f t="shared" si="2"/>
        <v>13</v>
      </c>
      <c r="C41" s="1">
        <v>705</v>
      </c>
      <c r="D41" s="13"/>
      <c r="E41" s="2"/>
      <c r="F41" s="7"/>
      <c r="G41" s="34" t="s">
        <v>20</v>
      </c>
      <c r="H41" s="1"/>
      <c r="I41" s="22"/>
      <c r="J41" s="1"/>
      <c r="K41" s="1"/>
      <c r="L41" s="1"/>
      <c r="M41" s="26"/>
      <c r="N41" s="29"/>
      <c r="O41" s="11"/>
      <c r="P41" s="11"/>
    </row>
    <row r="42" spans="1:16" ht="15" customHeight="1" x14ac:dyDescent="0.25">
      <c r="A42" s="49">
        <f t="shared" si="2"/>
        <v>2026</v>
      </c>
      <c r="B42" s="1">
        <f t="shared" si="2"/>
        <v>13</v>
      </c>
      <c r="C42" s="1">
        <v>706</v>
      </c>
      <c r="D42" s="13"/>
      <c r="E42" s="2"/>
      <c r="F42" s="7"/>
      <c r="G42" s="34" t="s">
        <v>20</v>
      </c>
      <c r="H42" s="1"/>
      <c r="I42" s="22"/>
      <c r="J42" s="1"/>
      <c r="K42" s="1"/>
      <c r="L42" s="1"/>
      <c r="M42" s="26"/>
      <c r="N42" s="29"/>
      <c r="O42" s="11"/>
      <c r="P42" s="11"/>
    </row>
    <row r="43" spans="1:16" ht="15" customHeight="1" x14ac:dyDescent="0.25">
      <c r="A43" s="49">
        <f t="shared" si="2"/>
        <v>2026</v>
      </c>
      <c r="B43" s="1">
        <f t="shared" si="2"/>
        <v>13</v>
      </c>
      <c r="C43" s="1">
        <v>707</v>
      </c>
      <c r="D43" s="13"/>
      <c r="E43" s="2"/>
      <c r="F43" s="7"/>
      <c r="G43" s="34" t="s">
        <v>20</v>
      </c>
      <c r="H43" s="1"/>
      <c r="I43" s="22"/>
      <c r="J43" s="1"/>
      <c r="K43" s="1"/>
      <c r="L43" s="1"/>
      <c r="M43" s="26"/>
      <c r="N43" s="29"/>
      <c r="O43" s="11"/>
      <c r="P43" s="11"/>
    </row>
    <row r="44" spans="1:16" ht="15" customHeight="1" thickBot="1" x14ac:dyDescent="0.3">
      <c r="A44" s="49">
        <f t="shared" si="2"/>
        <v>2026</v>
      </c>
      <c r="B44" s="1">
        <f t="shared" si="2"/>
        <v>13</v>
      </c>
      <c r="C44" s="1">
        <v>711</v>
      </c>
      <c r="D44" s="13"/>
      <c r="E44" s="2"/>
      <c r="F44" s="7"/>
      <c r="G44" s="34" t="s">
        <v>20</v>
      </c>
      <c r="H44" s="1"/>
      <c r="I44" s="22"/>
      <c r="J44" s="1"/>
      <c r="K44" s="1"/>
      <c r="L44" s="1"/>
      <c r="M44" s="26"/>
      <c r="N44" s="29"/>
      <c r="O44" s="11"/>
      <c r="P44" s="11"/>
    </row>
    <row r="45" spans="1:16" ht="15" customHeight="1" thickBot="1" x14ac:dyDescent="0.3">
      <c r="A45" s="49">
        <f t="shared" si="2"/>
        <v>2026</v>
      </c>
      <c r="B45" s="1">
        <f t="shared" si="2"/>
        <v>13</v>
      </c>
      <c r="C45" s="1">
        <v>716</v>
      </c>
      <c r="D45" s="13"/>
      <c r="E45" s="2"/>
      <c r="F45" s="7"/>
      <c r="G45" s="34" t="s">
        <v>20</v>
      </c>
      <c r="H45" s="1"/>
      <c r="I45" s="22"/>
      <c r="J45" s="1"/>
      <c r="K45" s="1"/>
      <c r="L45" s="1"/>
      <c r="M45" s="26"/>
      <c r="N45" s="29"/>
      <c r="O45" s="83"/>
      <c r="P45" s="11"/>
    </row>
    <row r="46" spans="1:16" ht="15" customHeight="1" x14ac:dyDescent="0.25">
      <c r="A46" s="49">
        <f t="shared" si="2"/>
        <v>2026</v>
      </c>
      <c r="B46" s="1">
        <f t="shared" si="2"/>
        <v>13</v>
      </c>
      <c r="C46" s="1">
        <v>723</v>
      </c>
      <c r="D46" s="13"/>
      <c r="E46" s="2"/>
      <c r="F46" s="7"/>
      <c r="G46" s="34" t="s">
        <v>20</v>
      </c>
      <c r="H46" s="1"/>
      <c r="I46" s="22"/>
      <c r="J46" s="1"/>
      <c r="K46" s="1"/>
      <c r="L46" s="1"/>
      <c r="M46" s="26"/>
      <c r="N46" s="29"/>
      <c r="O46" s="11"/>
      <c r="P46" s="11"/>
    </row>
    <row r="47" spans="1:16" ht="15" customHeight="1" x14ac:dyDescent="0.25">
      <c r="A47" s="49">
        <f t="shared" si="2"/>
        <v>2026</v>
      </c>
      <c r="B47" s="1">
        <f t="shared" si="2"/>
        <v>13</v>
      </c>
      <c r="C47" s="1">
        <v>801</v>
      </c>
      <c r="D47" s="13"/>
      <c r="E47" s="2"/>
      <c r="F47" s="7"/>
      <c r="G47" s="34" t="s">
        <v>20</v>
      </c>
      <c r="H47" s="1"/>
      <c r="I47" s="22"/>
      <c r="J47" s="1"/>
      <c r="K47" s="1"/>
      <c r="L47" s="1"/>
      <c r="M47" s="26"/>
      <c r="N47" s="29"/>
      <c r="O47" s="4"/>
      <c r="P47" s="11"/>
    </row>
    <row r="48" spans="1:16" ht="15" customHeight="1" thickBot="1" x14ac:dyDescent="0.3">
      <c r="A48" s="49">
        <f t="shared" si="2"/>
        <v>2026</v>
      </c>
      <c r="B48" s="1">
        <f t="shared" si="2"/>
        <v>13</v>
      </c>
      <c r="C48" s="1">
        <v>804</v>
      </c>
      <c r="D48" s="13"/>
      <c r="E48" s="2"/>
      <c r="F48" s="7"/>
      <c r="G48" s="34" t="s">
        <v>20</v>
      </c>
      <c r="H48" s="1"/>
      <c r="I48" s="22"/>
      <c r="J48" s="1"/>
      <c r="K48" s="1"/>
      <c r="L48" s="1"/>
      <c r="M48" s="26"/>
      <c r="N48" s="29"/>
      <c r="O48" s="11"/>
      <c r="P48" s="11"/>
    </row>
    <row r="49" spans="1:16" ht="15" customHeight="1" x14ac:dyDescent="0.25">
      <c r="A49" s="64">
        <f t="shared" si="2"/>
        <v>2026</v>
      </c>
      <c r="B49" s="41">
        <f t="shared" si="2"/>
        <v>13</v>
      </c>
      <c r="C49" s="42">
        <v>809</v>
      </c>
      <c r="D49" s="15">
        <v>46006</v>
      </c>
      <c r="E49" s="73">
        <v>4</v>
      </c>
      <c r="F49" s="8">
        <v>152</v>
      </c>
      <c r="G49" s="35" t="s">
        <v>20</v>
      </c>
      <c r="H49" s="3"/>
      <c r="I49" s="23"/>
      <c r="J49" s="3"/>
      <c r="K49" s="3"/>
      <c r="L49" s="3"/>
      <c r="M49" s="27"/>
      <c r="N49" s="30"/>
      <c r="O49" s="84" t="s">
        <v>13</v>
      </c>
      <c r="P49" s="11"/>
    </row>
    <row r="50" spans="1:16" ht="15" customHeight="1" x14ac:dyDescent="0.25">
      <c r="A50" s="64">
        <f t="shared" si="2"/>
        <v>2026</v>
      </c>
      <c r="B50" s="41">
        <f t="shared" si="2"/>
        <v>13</v>
      </c>
      <c r="C50" s="42">
        <v>812</v>
      </c>
      <c r="D50" s="15">
        <v>46006</v>
      </c>
      <c r="E50" s="73">
        <v>4.4000000000000004</v>
      </c>
      <c r="F50" s="8">
        <v>150</v>
      </c>
      <c r="G50" s="35" t="s">
        <v>20</v>
      </c>
      <c r="H50" s="3"/>
      <c r="I50" s="23"/>
      <c r="J50" s="3"/>
      <c r="K50" s="3"/>
      <c r="L50" s="3"/>
      <c r="M50" s="27"/>
      <c r="N50" s="30"/>
      <c r="O50" s="85"/>
      <c r="P50" s="11"/>
    </row>
    <row r="51" spans="1:16" ht="15" customHeight="1" x14ac:dyDescent="0.25">
      <c r="A51" s="49">
        <f t="shared" si="2"/>
        <v>2026</v>
      </c>
      <c r="B51" s="1">
        <f t="shared" si="2"/>
        <v>13</v>
      </c>
      <c r="C51" s="1">
        <v>815</v>
      </c>
      <c r="D51" s="13">
        <v>46006</v>
      </c>
      <c r="E51" s="2">
        <v>3.5</v>
      </c>
      <c r="F51" s="7">
        <v>141</v>
      </c>
      <c r="G51" s="34" t="s">
        <v>20</v>
      </c>
      <c r="H51" s="1"/>
      <c r="I51" s="22"/>
      <c r="J51" s="1"/>
      <c r="K51" s="1"/>
      <c r="L51" s="1"/>
      <c r="M51" s="26"/>
      <c r="N51" s="29"/>
      <c r="O51" s="67"/>
      <c r="P51" s="11"/>
    </row>
    <row r="52" spans="1:16" ht="15" customHeight="1" x14ac:dyDescent="0.25">
      <c r="A52" s="49">
        <f t="shared" ref="A52:B60" si="3">A51</f>
        <v>2026</v>
      </c>
      <c r="B52" s="1">
        <f t="shared" si="3"/>
        <v>13</v>
      </c>
      <c r="C52" s="1">
        <v>901</v>
      </c>
      <c r="D52" s="13">
        <v>46006</v>
      </c>
      <c r="E52" s="2">
        <v>3.8</v>
      </c>
      <c r="F52" s="7">
        <v>135</v>
      </c>
      <c r="G52" s="34" t="s">
        <v>20</v>
      </c>
      <c r="H52" s="1"/>
      <c r="I52" s="7"/>
      <c r="J52" s="1"/>
      <c r="K52" s="1"/>
      <c r="L52" s="1"/>
      <c r="M52" s="26"/>
      <c r="N52" s="29"/>
      <c r="O52" s="67"/>
      <c r="P52" s="11"/>
    </row>
    <row r="53" spans="1:16" ht="15" customHeight="1" x14ac:dyDescent="0.25">
      <c r="A53" s="49">
        <f t="shared" si="3"/>
        <v>2026</v>
      </c>
      <c r="B53" s="1">
        <f t="shared" si="3"/>
        <v>13</v>
      </c>
      <c r="C53" s="1">
        <v>902</v>
      </c>
      <c r="D53" s="13">
        <v>46006</v>
      </c>
      <c r="E53" s="2">
        <v>1.8</v>
      </c>
      <c r="F53" s="7">
        <v>200</v>
      </c>
      <c r="G53" s="34" t="s">
        <v>20</v>
      </c>
      <c r="H53" s="1"/>
      <c r="I53" s="7"/>
      <c r="J53" s="1"/>
      <c r="K53" s="1"/>
      <c r="L53" s="1"/>
      <c r="M53" s="26"/>
      <c r="N53" s="29"/>
      <c r="O53" s="67"/>
      <c r="P53" s="11"/>
    </row>
    <row r="54" spans="1:16" ht="15" customHeight="1" x14ac:dyDescent="0.25">
      <c r="A54" s="49">
        <f t="shared" si="3"/>
        <v>2026</v>
      </c>
      <c r="B54" s="1">
        <f t="shared" si="3"/>
        <v>13</v>
      </c>
      <c r="C54" s="1">
        <v>906</v>
      </c>
      <c r="D54" s="13">
        <v>46006</v>
      </c>
      <c r="E54" s="2">
        <v>7.2</v>
      </c>
      <c r="F54" s="7">
        <v>137</v>
      </c>
      <c r="G54" s="34" t="s">
        <v>20</v>
      </c>
      <c r="H54" s="1"/>
      <c r="I54" s="7"/>
      <c r="J54" s="1"/>
      <c r="K54" s="1"/>
      <c r="L54" s="1"/>
      <c r="M54" s="26"/>
      <c r="N54" s="29"/>
      <c r="O54" s="67"/>
      <c r="P54" s="11"/>
    </row>
    <row r="55" spans="1:16" ht="15" customHeight="1" x14ac:dyDescent="0.25">
      <c r="A55" s="49">
        <f t="shared" si="3"/>
        <v>2026</v>
      </c>
      <c r="B55" s="1">
        <f t="shared" si="3"/>
        <v>13</v>
      </c>
      <c r="C55" s="1">
        <v>910</v>
      </c>
      <c r="D55" s="13">
        <v>46006</v>
      </c>
      <c r="E55" s="2">
        <v>5.4</v>
      </c>
      <c r="F55" s="7">
        <v>130</v>
      </c>
      <c r="G55" s="34" t="s">
        <v>20</v>
      </c>
      <c r="H55" s="1"/>
      <c r="I55" s="7"/>
      <c r="J55" s="1"/>
      <c r="K55" s="1"/>
      <c r="L55" s="1"/>
      <c r="M55" s="26"/>
      <c r="N55" s="29"/>
      <c r="O55" s="67"/>
      <c r="P55" s="11"/>
    </row>
    <row r="56" spans="1:16" ht="15" customHeight="1" x14ac:dyDescent="0.25">
      <c r="A56" s="49">
        <f t="shared" si="3"/>
        <v>2026</v>
      </c>
      <c r="B56" s="1">
        <f t="shared" si="3"/>
        <v>13</v>
      </c>
      <c r="C56" s="1">
        <v>912</v>
      </c>
      <c r="D56" s="13">
        <v>46006</v>
      </c>
      <c r="E56" s="2">
        <v>11.7</v>
      </c>
      <c r="F56" s="7">
        <v>56</v>
      </c>
      <c r="G56" s="34" t="s">
        <v>20</v>
      </c>
      <c r="H56" s="1"/>
      <c r="I56" s="7"/>
      <c r="J56" s="1"/>
      <c r="K56" s="1"/>
      <c r="L56" s="1"/>
      <c r="M56" s="26"/>
      <c r="N56" s="29"/>
      <c r="O56" s="67"/>
      <c r="P56" s="11"/>
    </row>
    <row r="57" spans="1:16" ht="15" customHeight="1" x14ac:dyDescent="0.25">
      <c r="A57" s="49">
        <f t="shared" si="3"/>
        <v>2026</v>
      </c>
      <c r="B57" s="1">
        <f t="shared" si="3"/>
        <v>13</v>
      </c>
      <c r="C57" s="1">
        <v>914</v>
      </c>
      <c r="D57" s="13">
        <v>46006</v>
      </c>
      <c r="E57" s="2">
        <v>2.1</v>
      </c>
      <c r="F57" s="7">
        <v>200</v>
      </c>
      <c r="G57" s="34" t="s">
        <v>20</v>
      </c>
      <c r="H57" s="1"/>
      <c r="I57" s="7"/>
      <c r="J57" s="1"/>
      <c r="K57" s="1"/>
      <c r="L57" s="1"/>
      <c r="M57" s="26"/>
      <c r="N57" s="29"/>
      <c r="O57" s="67"/>
      <c r="P57" s="11"/>
    </row>
    <row r="58" spans="1:16" ht="15" customHeight="1" x14ac:dyDescent="0.25">
      <c r="A58" s="49">
        <f t="shared" si="3"/>
        <v>2026</v>
      </c>
      <c r="B58" s="1">
        <f t="shared" si="3"/>
        <v>13</v>
      </c>
      <c r="C58" s="1">
        <v>915</v>
      </c>
      <c r="D58" s="13">
        <v>46006</v>
      </c>
      <c r="E58" s="2">
        <v>1.9</v>
      </c>
      <c r="F58" s="7">
        <v>200</v>
      </c>
      <c r="G58" s="34" t="s">
        <v>20</v>
      </c>
      <c r="H58" s="1"/>
      <c r="I58" s="7"/>
      <c r="J58" s="1"/>
      <c r="K58" s="1"/>
      <c r="L58" s="1"/>
      <c r="M58" s="26"/>
      <c r="N58" s="29"/>
      <c r="O58" s="67"/>
      <c r="P58" s="11"/>
    </row>
    <row r="59" spans="1:16" ht="15" customHeight="1" x14ac:dyDescent="0.25">
      <c r="A59" s="49">
        <f t="shared" si="3"/>
        <v>2026</v>
      </c>
      <c r="B59" s="1">
        <f t="shared" si="3"/>
        <v>13</v>
      </c>
      <c r="C59" s="1">
        <v>918</v>
      </c>
      <c r="D59" s="13">
        <v>46006</v>
      </c>
      <c r="E59" s="2">
        <v>2.1</v>
      </c>
      <c r="F59" s="7">
        <v>200</v>
      </c>
      <c r="G59" s="34" t="s">
        <v>20</v>
      </c>
      <c r="H59" s="1"/>
      <c r="I59" s="7"/>
      <c r="J59" s="1"/>
      <c r="K59" s="1"/>
      <c r="L59" s="1"/>
      <c r="M59" s="26"/>
      <c r="N59" s="29"/>
      <c r="O59" s="67"/>
      <c r="P59" s="11"/>
    </row>
    <row r="60" spans="1:16" ht="15" customHeight="1" thickBot="1" x14ac:dyDescent="0.3">
      <c r="A60" s="65">
        <f t="shared" si="3"/>
        <v>2026</v>
      </c>
      <c r="B60" s="58">
        <f t="shared" si="3"/>
        <v>13</v>
      </c>
      <c r="C60" s="58">
        <v>919</v>
      </c>
      <c r="D60" s="59">
        <v>46006</v>
      </c>
      <c r="E60" s="74">
        <v>3</v>
      </c>
      <c r="F60" s="60">
        <v>165</v>
      </c>
      <c r="G60" s="34" t="s">
        <v>20</v>
      </c>
      <c r="H60" s="58"/>
      <c r="I60" s="60"/>
      <c r="J60" s="58"/>
      <c r="K60" s="58"/>
      <c r="L60" s="58"/>
      <c r="M60" s="62"/>
      <c r="N60" s="63"/>
      <c r="O60" s="67"/>
      <c r="P60" s="11"/>
    </row>
    <row r="61" spans="1:16" ht="15" customHeight="1" x14ac:dyDescent="0.25">
      <c r="A61" s="68" t="s">
        <v>21</v>
      </c>
      <c r="B61" s="69"/>
      <c r="C61" s="69"/>
      <c r="D61" s="69"/>
      <c r="E61" s="69"/>
      <c r="F61" s="33"/>
      <c r="G61" s="69"/>
      <c r="H61" s="70"/>
      <c r="I61" s="33"/>
      <c r="J61" s="71"/>
      <c r="K61" s="71"/>
      <c r="L61" s="71"/>
      <c r="M61" s="72"/>
      <c r="N61" s="71"/>
      <c r="O61" s="11"/>
    </row>
  </sheetData>
  <mergeCells count="1">
    <mergeCell ref="O49:O50"/>
  </mergeCells>
  <dataValidations count="3">
    <dataValidation type="list" allowBlank="1" showInputMessage="1" showErrorMessage="1" sqref="J2:J60" xr:uid="{42291539-D82A-4408-8A96-51982FDA1B05}">
      <formula1>"Preliminary, Completed"</formula1>
    </dataValidation>
    <dataValidation type="list" allowBlank="1" showInputMessage="1" showErrorMessage="1" sqref="H2:H60" xr:uid="{8DD18028-8CAD-494F-A637-5BAE43DE12F3}">
      <formula1>"No Smelt Catch, Longfin Smelt "</formula1>
    </dataValidation>
    <dataValidation type="list" allowBlank="1" showInputMessage="1" showErrorMessage="1" sqref="G2:G60" xr:uid="{2DAE18B8-D8EB-4A55-AEBB-27AB35370FD7}">
      <formula1>"Not Processed, Processed"</formula1>
    </dataValidation>
  </dataValidations>
  <pageMargins left="0.7" right="0.7" top="0.75" bottom="0.75" header="0.3" footer="0.3"/>
  <pageSetup scal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18D6-0D3C-46C9-99AE-A8F333F6BEE4}">
  <dimension ref="A1:N2"/>
  <sheetViews>
    <sheetView workbookViewId="0">
      <selection sqref="A1:K1"/>
    </sheetView>
  </sheetViews>
  <sheetFormatPr defaultRowHeight="15" x14ac:dyDescent="0.25"/>
  <sheetData>
    <row r="1" spans="1:14" ht="25.5" x14ac:dyDescent="0.35">
      <c r="A1" s="86" t="s">
        <v>17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4" x14ac:dyDescent="0.25">
      <c r="N2" s="66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 12</vt:lpstr>
      <vt:lpstr>Survey 13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OcegueraZavala, Jennifer@Wildlife</cp:lastModifiedBy>
  <cp:lastPrinted>2025-02-25T19:01:29Z</cp:lastPrinted>
  <dcterms:created xsi:type="dcterms:W3CDTF">2022-01-20T21:02:50Z</dcterms:created>
  <dcterms:modified xsi:type="dcterms:W3CDTF">2025-12-16T15:37:49Z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