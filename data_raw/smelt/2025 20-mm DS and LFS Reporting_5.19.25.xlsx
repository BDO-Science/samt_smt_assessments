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NativeFish\Data Reporting\20-mm Catch Summaries\2025\"/>
    </mc:Choice>
  </mc:AlternateContent>
  <xr:revisionPtr revIDLastSave="0" documentId="13_ncr:1_{E039A9AD-FD50-4725-ADC2-E1DFFA039BE3}" xr6:coauthVersionLast="47" xr6:coauthVersionMax="47" xr10:uidLastSave="{00000000-0000-0000-0000-000000000000}"/>
  <bookViews>
    <workbookView xWindow="28680" yWindow="-120" windowWidth="29040" windowHeight="15840" tabRatio="844" activeTab="3" xr2:uid="{338C3D2A-93DE-44D7-8758-93C35B8A7456}"/>
  </bookViews>
  <sheets>
    <sheet name="Survey 1" sheetId="52" r:id="rId1"/>
    <sheet name="Survey 2" sheetId="62" r:id="rId2"/>
    <sheet name="Survey 3" sheetId="63" r:id="rId3"/>
    <sheet name="Survey 4" sheetId="64" r:id="rId4"/>
    <sheet name="Survey 5" sheetId="65" r:id="rId5"/>
    <sheet name="20-mm Map" sheetId="6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64" l="1"/>
  <c r="B62" i="64"/>
  <c r="B61" i="64"/>
  <c r="B60" i="64"/>
  <c r="B59" i="64"/>
  <c r="B58" i="64"/>
  <c r="B57" i="64"/>
  <c r="B56" i="64"/>
  <c r="B55" i="64"/>
  <c r="B54" i="64"/>
  <c r="B53" i="64"/>
  <c r="B52" i="64"/>
  <c r="B51" i="64"/>
  <c r="B50" i="64"/>
  <c r="B49" i="64"/>
  <c r="B48" i="64"/>
  <c r="B47" i="64"/>
  <c r="B46" i="64"/>
  <c r="B45" i="64"/>
  <c r="B44" i="64"/>
  <c r="B43" i="64"/>
  <c r="B42" i="64"/>
  <c r="B41" i="64"/>
  <c r="B40" i="64"/>
  <c r="B39" i="64"/>
  <c r="B38" i="64"/>
  <c r="B37" i="64"/>
  <c r="B36" i="64"/>
  <c r="B35" i="64"/>
  <c r="B34" i="64"/>
  <c r="B33" i="64"/>
  <c r="B32" i="64"/>
  <c r="B31" i="64"/>
  <c r="B30" i="64"/>
  <c r="B29" i="64"/>
  <c r="B28" i="64"/>
  <c r="B27" i="64"/>
  <c r="B26" i="64"/>
  <c r="B25" i="64"/>
  <c r="B24" i="64"/>
  <c r="B23" i="64"/>
  <c r="B22" i="64"/>
  <c r="B18" i="64"/>
  <c r="B17" i="64"/>
  <c r="B16" i="64"/>
  <c r="B4" i="64"/>
  <c r="B5" i="64" s="1"/>
  <c r="B63" i="65"/>
  <c r="B62" i="65"/>
  <c r="B61" i="65"/>
  <c r="B60" i="65"/>
  <c r="B59" i="65"/>
  <c r="B58" i="65"/>
  <c r="B57" i="65"/>
  <c r="B56" i="65"/>
  <c r="B55" i="65"/>
  <c r="B54" i="65"/>
  <c r="B53" i="65"/>
  <c r="B52" i="65"/>
  <c r="B51" i="65"/>
  <c r="B50" i="65"/>
  <c r="B49" i="65"/>
  <c r="B48" i="65"/>
  <c r="B47" i="65"/>
  <c r="B46" i="65"/>
  <c r="B45" i="65"/>
  <c r="B44" i="65"/>
  <c r="B43" i="65"/>
  <c r="B42" i="65"/>
  <c r="B41" i="65"/>
  <c r="B40" i="65"/>
  <c r="B39" i="65"/>
  <c r="B38" i="65"/>
  <c r="B37" i="65"/>
  <c r="B36" i="65"/>
  <c r="B35" i="65"/>
  <c r="B34" i="65"/>
  <c r="B33" i="65"/>
  <c r="B32" i="65"/>
  <c r="B31" i="65"/>
  <c r="B30" i="65"/>
  <c r="B29" i="65"/>
  <c r="B28" i="65"/>
  <c r="B27" i="65"/>
  <c r="B26" i="65"/>
  <c r="B25" i="65"/>
  <c r="B24" i="65"/>
  <c r="B23" i="65"/>
  <c r="B22" i="65"/>
  <c r="B18" i="65"/>
  <c r="B17" i="65"/>
  <c r="B16" i="65"/>
  <c r="B4" i="65"/>
  <c r="B5" i="65" s="1"/>
  <c r="B63" i="63"/>
  <c r="B62" i="63"/>
  <c r="B61" i="63"/>
  <c r="B60" i="63"/>
  <c r="B59" i="63"/>
  <c r="B58" i="63"/>
  <c r="B57" i="63"/>
  <c r="B56" i="63"/>
  <c r="B55" i="63"/>
  <c r="B54" i="63"/>
  <c r="B53" i="63"/>
  <c r="B52" i="63"/>
  <c r="B51" i="63"/>
  <c r="B50" i="63"/>
  <c r="B49" i="63"/>
  <c r="B48" i="63"/>
  <c r="B47" i="63"/>
  <c r="B46" i="63"/>
  <c r="B45" i="63"/>
  <c r="B44" i="63"/>
  <c r="B43" i="63"/>
  <c r="B42" i="63"/>
  <c r="B41" i="63"/>
  <c r="B40" i="63"/>
  <c r="B39" i="63"/>
  <c r="B38" i="63"/>
  <c r="B37" i="63"/>
  <c r="B36" i="63"/>
  <c r="B35" i="63"/>
  <c r="B34" i="63"/>
  <c r="B33" i="63"/>
  <c r="B32" i="63"/>
  <c r="B31" i="63"/>
  <c r="B30" i="63"/>
  <c r="B29" i="63"/>
  <c r="B28" i="63"/>
  <c r="B27" i="63"/>
  <c r="B26" i="63"/>
  <c r="B25" i="63"/>
  <c r="B24" i="63"/>
  <c r="B23" i="63"/>
  <c r="B22" i="63"/>
  <c r="B19" i="63"/>
  <c r="B18" i="63"/>
  <c r="B17" i="63"/>
  <c r="B16" i="63"/>
  <c r="B5" i="63"/>
  <c r="B6" i="63" s="1"/>
  <c r="B4" i="63"/>
  <c r="B63" i="62"/>
  <c r="B62" i="62"/>
  <c r="B61" i="62"/>
  <c r="B60" i="62"/>
  <c r="B59" i="62"/>
  <c r="B58" i="62"/>
  <c r="B57" i="62"/>
  <c r="B56" i="62"/>
  <c r="B55" i="62"/>
  <c r="B54" i="62"/>
  <c r="B53" i="62"/>
  <c r="B52" i="62"/>
  <c r="B51" i="62"/>
  <c r="B50" i="62"/>
  <c r="B49" i="62"/>
  <c r="B48" i="62"/>
  <c r="B47" i="62"/>
  <c r="B46" i="62"/>
  <c r="B45" i="62"/>
  <c r="B44" i="62"/>
  <c r="B43" i="62"/>
  <c r="B42" i="62"/>
  <c r="B41" i="62"/>
  <c r="B40" i="62"/>
  <c r="B39" i="62"/>
  <c r="B38" i="62"/>
  <c r="B37" i="62"/>
  <c r="B36" i="62"/>
  <c r="B35" i="62"/>
  <c r="B34" i="62"/>
  <c r="B33" i="62"/>
  <c r="B32" i="62"/>
  <c r="B31" i="62"/>
  <c r="B30" i="62"/>
  <c r="B29" i="62"/>
  <c r="B28" i="62"/>
  <c r="B27" i="62"/>
  <c r="B26" i="62"/>
  <c r="B25" i="62"/>
  <c r="B24" i="62"/>
  <c r="B23" i="62"/>
  <c r="B22" i="62"/>
  <c r="B18" i="62"/>
  <c r="B17" i="62"/>
  <c r="B16" i="62"/>
  <c r="B4" i="62"/>
  <c r="B5" i="62" s="1"/>
  <c r="B63" i="52"/>
  <c r="B62" i="52"/>
  <c r="B61" i="52"/>
  <c r="B60" i="52"/>
  <c r="B59" i="52"/>
  <c r="B58" i="52"/>
  <c r="B57" i="52"/>
  <c r="B56" i="52"/>
  <c r="B55" i="52"/>
  <c r="B54" i="52"/>
  <c r="B53" i="52"/>
  <c r="B52" i="52"/>
  <c r="B51" i="52"/>
  <c r="B50" i="52"/>
  <c r="B49" i="52"/>
  <c r="B48" i="52"/>
  <c r="B47" i="52"/>
  <c r="B46" i="52"/>
  <c r="B45" i="52"/>
  <c r="B44" i="52"/>
  <c r="B43" i="52"/>
  <c r="B42" i="52"/>
  <c r="B41" i="52"/>
  <c r="B40" i="52"/>
  <c r="B39" i="52"/>
  <c r="B38" i="52"/>
  <c r="B37" i="52"/>
  <c r="B36" i="52"/>
  <c r="B35" i="52"/>
  <c r="B34" i="52"/>
  <c r="B33" i="52"/>
  <c r="B32" i="52"/>
  <c r="B31" i="52"/>
  <c r="B30" i="52"/>
  <c r="B29" i="52"/>
  <c r="B28" i="52"/>
  <c r="B27" i="52"/>
  <c r="B26" i="52"/>
  <c r="B25" i="52"/>
  <c r="B24" i="52"/>
  <c r="B23" i="52"/>
  <c r="B22" i="52"/>
  <c r="B18" i="52"/>
  <c r="B17" i="52"/>
  <c r="B16" i="52"/>
  <c r="B4" i="52"/>
  <c r="B5" i="52" s="1"/>
  <c r="B20" i="64" l="1"/>
  <c r="B6" i="64"/>
  <c r="B19" i="64"/>
  <c r="B6" i="65"/>
  <c r="B20" i="65"/>
  <c r="B19" i="65"/>
  <c r="B7" i="63"/>
  <c r="B8" i="63" s="1"/>
  <c r="B9" i="63" s="1"/>
  <c r="B10" i="63" s="1"/>
  <c r="B11" i="63" s="1"/>
  <c r="B12" i="63" s="1"/>
  <c r="B13" i="63" s="1"/>
  <c r="B14" i="63" s="1"/>
  <c r="B15" i="63" s="1"/>
  <c r="B21" i="63"/>
  <c r="B20" i="63"/>
  <c r="B6" i="62"/>
  <c r="B20" i="62"/>
  <c r="B19" i="62"/>
  <c r="B6" i="52"/>
  <c r="B20" i="52"/>
  <c r="B19" i="52"/>
  <c r="B7" i="64" l="1"/>
  <c r="B8" i="64" s="1"/>
  <c r="B9" i="64" s="1"/>
  <c r="B10" i="64" s="1"/>
  <c r="B11" i="64" s="1"/>
  <c r="B12" i="64" s="1"/>
  <c r="B13" i="64" s="1"/>
  <c r="B14" i="64" s="1"/>
  <c r="B15" i="64" s="1"/>
  <c r="B21" i="64"/>
  <c r="B7" i="65"/>
  <c r="B8" i="65" s="1"/>
  <c r="B9" i="65" s="1"/>
  <c r="B10" i="65" s="1"/>
  <c r="B11" i="65" s="1"/>
  <c r="B12" i="65" s="1"/>
  <c r="B13" i="65" s="1"/>
  <c r="B14" i="65" s="1"/>
  <c r="B15" i="65" s="1"/>
  <c r="B21" i="65"/>
  <c r="B7" i="62"/>
  <c r="B8" i="62" s="1"/>
  <c r="B9" i="62" s="1"/>
  <c r="B10" i="62" s="1"/>
  <c r="B11" i="62" s="1"/>
  <c r="B12" i="62" s="1"/>
  <c r="B13" i="62" s="1"/>
  <c r="B14" i="62" s="1"/>
  <c r="B15" i="62" s="1"/>
  <c r="B21" i="62"/>
  <c r="B7" i="52"/>
  <c r="B8" i="52" s="1"/>
  <c r="B9" i="52" s="1"/>
  <c r="B10" i="52" s="1"/>
  <c r="B11" i="52" s="1"/>
  <c r="B12" i="52" s="1"/>
  <c r="B13" i="52" s="1"/>
  <c r="B14" i="52" s="1"/>
  <c r="B15" i="52" s="1"/>
  <c r="B21" i="52"/>
</calcChain>
</file>

<file path=xl/sharedStrings.xml><?xml version="1.0" encoding="utf-8"?>
<sst xmlns="http://schemas.openxmlformats.org/spreadsheetml/2006/main" count="579" uniqueCount="58">
  <si>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</si>
  <si>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</si>
  <si>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</si>
  <si>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</si>
  <si>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</si>
  <si>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</si>
  <si>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</si>
  <si>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</si>
  <si>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</si>
  <si>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</si>
  <si>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</si>
  <si>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</si>
  <si>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</si>
  <si>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Not Processed</t>
  </si>
  <si>
    <t>ID Status</t>
  </si>
  <si>
    <t>Secchi (CM)</t>
  </si>
  <si>
    <t>Napa River</t>
  </si>
  <si>
    <t>Carquinez Strait</t>
  </si>
  <si>
    <t>San Pablo Bay</t>
  </si>
  <si>
    <t>Suisun Bay &amp; Marsh</t>
  </si>
  <si>
    <t>CDFW's 2025 20-mm Station Map</t>
  </si>
  <si>
    <t>Longfin Smelt</t>
  </si>
  <si>
    <t>No Smelt Catch</t>
  </si>
  <si>
    <t>Preliminary</t>
  </si>
  <si>
    <r>
      <t xml:space="preserve">Table 1. Delta Smelt and Longfin Smelt catch per station from 2025 20-mm Survey 1.  These data are preliminary and subject to change. Reduced tow times of 5 minutes indicated with *. Reduced tow times of 2.5 minutes indicated with </t>
    </r>
    <r>
      <rPr>
        <vertAlign val="superscript"/>
        <sz val="16"/>
        <color rgb="FF000000"/>
        <rFont val="Arial"/>
        <family val="2"/>
      </rPr>
      <t>∆</t>
    </r>
    <r>
      <rPr>
        <sz val="14"/>
        <color indexed="8"/>
        <rFont val="Arial"/>
        <family val="2"/>
      </rPr>
      <t xml:space="preserve">. Stations with dropped tows indicated with </t>
    </r>
    <r>
      <rPr>
        <vertAlign val="superscript"/>
        <sz val="16"/>
        <color rgb="FF000000"/>
        <rFont val="Arial"/>
        <family val="2"/>
      </rPr>
      <t>≠</t>
    </r>
    <r>
      <rPr>
        <sz val="14"/>
        <color indexed="8"/>
        <rFont val="Arial"/>
        <family val="2"/>
      </rPr>
      <t xml:space="preserve">.  </t>
    </r>
  </si>
  <si>
    <r>
      <t xml:space="preserve">Table 1. Delta Smelt and Longfin Smelt catch per station from 2025 20-mm Survey 2.  These data are preliminary and subject to change. Reduced tow times of 5 minutes indicated with *. Reduced tow times of 2.5 minutes indicated with </t>
    </r>
    <r>
      <rPr>
        <vertAlign val="superscript"/>
        <sz val="16"/>
        <color rgb="FF000000"/>
        <rFont val="Arial"/>
        <family val="2"/>
      </rPr>
      <t>∆</t>
    </r>
    <r>
      <rPr>
        <sz val="14"/>
        <color indexed="8"/>
        <rFont val="Arial"/>
        <family val="2"/>
      </rPr>
      <t xml:space="preserve">. Stations with dropped tows indicated with </t>
    </r>
    <r>
      <rPr>
        <vertAlign val="superscript"/>
        <sz val="16"/>
        <color rgb="FF000000"/>
        <rFont val="Arial"/>
        <family val="2"/>
      </rPr>
      <t>≠</t>
    </r>
    <r>
      <rPr>
        <sz val="14"/>
        <color indexed="8"/>
        <rFont val="Arial"/>
        <family val="2"/>
      </rPr>
      <t xml:space="preserve">.  </t>
    </r>
  </si>
  <si>
    <t>Complete</t>
  </si>
  <si>
    <r>
      <t xml:space="preserve">Table 1. Delta Smelt and Longfin Smelt catch per station from 2025 20-mm Survey 3.  These data are preliminary and subject to change. Reduced tow times of 5 minutes indicated with *. Reduced tow times of 2.5 minutes indicated with </t>
    </r>
    <r>
      <rPr>
        <vertAlign val="superscript"/>
        <sz val="16"/>
        <color rgb="FF000000"/>
        <rFont val="Arial"/>
        <family val="2"/>
      </rPr>
      <t>∆</t>
    </r>
    <r>
      <rPr>
        <sz val="14"/>
        <color indexed="8"/>
        <rFont val="Arial"/>
        <family val="2"/>
      </rPr>
      <t xml:space="preserve">. Stations with dropped tows indicated with </t>
    </r>
    <r>
      <rPr>
        <vertAlign val="superscript"/>
        <sz val="16"/>
        <color rgb="FF000000"/>
        <rFont val="Arial"/>
        <family val="2"/>
      </rPr>
      <t>≠</t>
    </r>
    <r>
      <rPr>
        <sz val="14"/>
        <color indexed="8"/>
        <rFont val="Arial"/>
        <family val="2"/>
      </rPr>
      <t xml:space="preserve">.  </t>
    </r>
  </si>
  <si>
    <t>Delta Smelt</t>
  </si>
  <si>
    <r>
      <t>812</t>
    </r>
    <r>
      <rPr>
        <sz val="14"/>
        <color rgb="FF000000"/>
        <rFont val="Arial"/>
        <family val="2"/>
      </rPr>
      <t>*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</si>
  <si>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</si>
  <si>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≠</t>
    </r>
    <r>
      <rPr>
        <sz val="11"/>
        <color rgb="FF000000"/>
        <rFont val="Arial"/>
        <family val="2"/>
      </rPr>
      <t xml:space="preserve"> </t>
    </r>
  </si>
  <si>
    <t>Not Sampled</t>
  </si>
  <si>
    <r>
      <t>906</t>
    </r>
    <r>
      <rPr>
        <sz val="14"/>
        <color rgb="FF000000"/>
        <rFont val="Arial"/>
        <family val="2"/>
      </rPr>
      <t>*</t>
    </r>
  </si>
  <si>
    <r>
      <t>915</t>
    </r>
    <r>
      <rPr>
        <sz val="14"/>
        <color rgb="FF000000"/>
        <rFont val="Arial"/>
        <family val="2"/>
      </rPr>
      <t>*</t>
    </r>
  </si>
  <si>
    <r>
      <t>718</t>
    </r>
    <r>
      <rPr>
        <sz val="14"/>
        <color rgb="FF000000"/>
        <rFont val="Arial"/>
        <family val="2"/>
      </rPr>
      <t>*</t>
    </r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</si>
  <si>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</si>
  <si>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</si>
  <si>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</si>
  <si>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606</t>
    </r>
    <r>
      <rPr>
        <vertAlign val="superscript"/>
        <sz val="14"/>
        <color rgb="FF000000"/>
        <rFont val="Arial"/>
        <family val="2"/>
      </rPr>
      <t>≠</t>
    </r>
  </si>
  <si>
    <r>
      <t>704</t>
    </r>
    <r>
      <rPr>
        <sz val="14"/>
        <color rgb="FF000000"/>
        <rFont val="Arial"/>
        <family val="2"/>
      </rPr>
      <t>*</t>
    </r>
  </si>
  <si>
    <r>
      <t>707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≠</t>
    </r>
  </si>
  <si>
    <r>
      <t>711</t>
    </r>
    <r>
      <rPr>
        <sz val="14"/>
        <color rgb="FF000000"/>
        <rFont val="Arial"/>
        <family val="2"/>
      </rPr>
      <t>*</t>
    </r>
  </si>
  <si>
    <r>
      <t>720</t>
    </r>
    <r>
      <rPr>
        <sz val="14"/>
        <color rgb="FF000000"/>
        <rFont val="Arial"/>
        <family val="2"/>
      </rPr>
      <t>*</t>
    </r>
  </si>
  <si>
    <r>
      <t>901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≠</t>
    </r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</si>
  <si>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</si>
  <si>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r>
      <t>910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</si>
  <si>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r>
      <t>914</t>
    </r>
    <r>
      <rPr>
        <sz val="14"/>
        <color rgb="FF000000"/>
        <rFont val="Arial"/>
        <family val="2"/>
      </rPr>
      <t>*</t>
    </r>
  </si>
  <si>
    <r>
      <t>918</t>
    </r>
    <r>
      <rPr>
        <sz val="14"/>
        <color rgb="FF000000"/>
        <rFont val="Arial"/>
        <family val="2"/>
      </rPr>
      <t>*</t>
    </r>
  </si>
  <si>
    <r>
      <t xml:space="preserve">Table 1. Delta Smelt and Longfin Smelt catch per station from 2025 20-mm Survey 4.  These data are preliminary and subject to change. Reduced tow times of 5 minutes indicated with *. Reduced tow times of 2.5 minutes indicated with </t>
    </r>
    <r>
      <rPr>
        <vertAlign val="superscript"/>
        <sz val="16"/>
        <color rgb="FF000000"/>
        <rFont val="Arial"/>
        <family val="2"/>
      </rPr>
      <t>∆</t>
    </r>
    <r>
      <rPr>
        <sz val="14"/>
        <color indexed="8"/>
        <rFont val="Arial"/>
        <family val="2"/>
      </rPr>
      <t xml:space="preserve">. Stations with dropped tows indicated with </t>
    </r>
    <r>
      <rPr>
        <vertAlign val="superscript"/>
        <sz val="16"/>
        <color rgb="FF000000"/>
        <rFont val="Arial"/>
        <family val="2"/>
      </rPr>
      <t>≠</t>
    </r>
    <r>
      <rPr>
        <sz val="14"/>
        <color indexed="8"/>
        <rFont val="Arial"/>
        <family val="2"/>
      </rPr>
      <t xml:space="preserve">.  </t>
    </r>
  </si>
  <si>
    <t>Processing is complete through 5/12/25</t>
  </si>
  <si>
    <r>
      <t>329</t>
    </r>
    <r>
      <rPr>
        <sz val="14"/>
        <color rgb="FF000000"/>
        <rFont val="Arial"/>
        <family val="2"/>
      </rPr>
      <t>*</t>
    </r>
  </si>
  <si>
    <r>
      <t>405</t>
    </r>
    <r>
      <rPr>
        <sz val="14"/>
        <color rgb="FF000000"/>
        <rFont val="Arial"/>
        <family val="2"/>
      </rPr>
      <t>*</t>
    </r>
  </si>
  <si>
    <r>
      <t>706</t>
    </r>
    <r>
      <rPr>
        <sz val="14"/>
        <color rgb="FF000000"/>
        <rFont val="Arial"/>
        <family val="2"/>
      </rPr>
      <t>*</t>
    </r>
  </si>
  <si>
    <r>
      <t xml:space="preserve">Table 1. Delta Smelt and Longfin Smelt catch per station from 2025 20-mm Survey 5.  These data are preliminary and subject to change. Reduced tow times of 5 minutes indicated with *. Reduced tow times of 2.5 minutes indicated with </t>
    </r>
    <r>
      <rPr>
        <vertAlign val="superscript"/>
        <sz val="16"/>
        <color rgb="FF000000"/>
        <rFont val="Arial"/>
        <family val="2"/>
      </rPr>
      <t>∆</t>
    </r>
    <r>
      <rPr>
        <sz val="14"/>
        <color indexed="8"/>
        <rFont val="Arial"/>
        <family val="2"/>
      </rPr>
      <t xml:space="preserve">. Stations with dropped tows indicated with </t>
    </r>
    <r>
      <rPr>
        <vertAlign val="superscript"/>
        <sz val="16"/>
        <color rgb="FF000000"/>
        <rFont val="Arial"/>
        <family val="2"/>
      </rPr>
      <t>≠</t>
    </r>
    <r>
      <rPr>
        <sz val="14"/>
        <color indexed="8"/>
        <rFont val="Arial"/>
        <family val="2"/>
      </rPr>
      <t xml:space="preserve">.  </t>
    </r>
  </si>
  <si>
    <r>
      <t>809</t>
    </r>
    <r>
      <rPr>
        <sz val="14"/>
        <color rgb="FF000000"/>
        <rFont val="Arial"/>
        <family val="2"/>
      </rPr>
      <t>*</t>
    </r>
  </si>
  <si>
    <r>
      <t>901</t>
    </r>
    <r>
      <rPr>
        <vertAlign val="superscript"/>
        <sz val="14"/>
        <color rgb="FF000000"/>
        <rFont val="Arial"/>
        <family val="2"/>
      </rPr>
      <t>∆</t>
    </r>
  </si>
  <si>
    <t>Processing is complete through 5/19/25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</si>
</sst>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0.0"/>
    <numFmt numFmtId="166" formatCode="m/d/yy;@"/>
  </numFmts>
  <fonts count="14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24"/>
      <color rgb="FF000000"/>
      <name val="Arial"/>
      <family val="2"/>
    </font>
    <font>
      <sz val="14"/>
      <color indexed="8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vertAlign val="superscript"/>
      <sz val="16"/>
      <color rgb="FF000000"/>
      <name val="Arial"/>
      <family val="2"/>
    </font>
    <font>
      <b/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indexed="8"/>
      </patternFill>
    </fill>
  </fills>
  <borders count="4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9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6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10" borderId="0" xfId="0" applyFill="1"/>
    <xf numFmtId="0" fontId="1" fillId="0" borderId="1" xfId="1" applyBorder="1" applyAlignment="1">
      <alignment horizontal="right" wrapText="1"/>
    </xf>
    <xf numFmtId="0" fontId="5" fillId="0" borderId="0" xfId="0" applyFont="1" applyAlignment="1">
      <alignment horizontal="left"/>
    </xf>
    <xf numFmtId="0" fontId="5" fillId="10" borderId="15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6" fillId="5" borderId="27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2" fontId="6" fillId="5" borderId="30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11" borderId="11" xfId="0" applyFont="1" applyFill="1" applyBorder="1" applyAlignment="1">
      <alignment horizontal="center"/>
    </xf>
    <xf numFmtId="166" fontId="5" fillId="11" borderId="11" xfId="0" applyNumberFormat="1" applyFont="1" applyFill="1" applyBorder="1" applyAlignment="1">
      <alignment horizontal="center"/>
    </xf>
    <xf numFmtId="1" fontId="5" fillId="11" borderId="11" xfId="0" applyNumberFormat="1" applyFont="1" applyFill="1" applyBorder="1" applyAlignment="1">
      <alignment horizontal="center"/>
    </xf>
    <xf numFmtId="1" fontId="5" fillId="11" borderId="31" xfId="0" applyNumberFormat="1" applyFont="1" applyFill="1" applyBorder="1" applyAlignment="1">
      <alignment horizontal="center"/>
    </xf>
    <xf numFmtId="0" fontId="5" fillId="11" borderId="25" xfId="0" applyFont="1" applyFill="1" applyBorder="1" applyAlignment="1">
      <alignment horizontal="center"/>
    </xf>
    <xf numFmtId="0" fontId="5" fillId="11" borderId="34" xfId="0" applyFont="1" applyFill="1" applyBorder="1" applyAlignment="1">
      <alignment horizontal="center"/>
    </xf>
    <xf numFmtId="0" fontId="5" fillId="11" borderId="19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8" borderId="6" xfId="0" applyFont="1" applyFill="1" applyBorder="1" applyAlignment="1">
      <alignment horizontal="center"/>
    </xf>
    <xf numFmtId="166" fontId="5" fillId="11" borderId="4" xfId="0" applyNumberFormat="1" applyFont="1" applyFill="1" applyBorder="1" applyAlignment="1">
      <alignment horizontal="center"/>
    </xf>
    <xf numFmtId="1" fontId="5" fillId="11" borderId="4" xfId="0" applyNumberFormat="1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1" fontId="5" fillId="11" borderId="32" xfId="0" applyNumberFormat="1" applyFont="1" applyFill="1" applyBorder="1" applyAlignment="1">
      <alignment horizontal="center"/>
    </xf>
    <xf numFmtId="0" fontId="5" fillId="11" borderId="23" xfId="0" applyFont="1" applyFill="1" applyBorder="1" applyAlignment="1">
      <alignment horizontal="center"/>
    </xf>
    <xf numFmtId="0" fontId="5" fillId="11" borderId="33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/>
    </xf>
    <xf numFmtId="166" fontId="5" fillId="11" borderId="35" xfId="0" applyNumberFormat="1" applyFont="1" applyFill="1" applyBorder="1" applyAlignment="1">
      <alignment horizontal="center"/>
    </xf>
    <xf numFmtId="1" fontId="5" fillId="11" borderId="35" xfId="0" applyNumberFormat="1" applyFont="1" applyFill="1" applyBorder="1" applyAlignment="1">
      <alignment horizontal="center"/>
    </xf>
    <xf numFmtId="1" fontId="5" fillId="11" borderId="36" xfId="0" applyNumberFormat="1" applyFont="1" applyFill="1" applyBorder="1" applyAlignment="1">
      <alignment horizontal="center"/>
    </xf>
    <xf numFmtId="0" fontId="5" fillId="11" borderId="37" xfId="0" applyFont="1" applyFill="1" applyBorder="1" applyAlignment="1">
      <alignment horizontal="center"/>
    </xf>
    <xf numFmtId="0" fontId="5" fillId="11" borderId="38" xfId="0" applyFont="1" applyFill="1" applyBorder="1" applyAlignment="1">
      <alignment horizontal="center"/>
    </xf>
    <xf numFmtId="0" fontId="5" fillId="11" borderId="39" xfId="0" applyFont="1" applyFill="1" applyBorder="1" applyAlignment="1">
      <alignment horizontal="center"/>
    </xf>
    <xf numFmtId="0" fontId="5" fillId="12" borderId="11" xfId="0" applyFont="1" applyFill="1" applyBorder="1" applyAlignment="1">
      <alignment horizontal="center"/>
    </xf>
    <xf numFmtId="0" fontId="5" fillId="17" borderId="11" xfId="0" applyFont="1" applyFill="1" applyBorder="1" applyAlignment="1">
      <alignment horizontal="center"/>
    </xf>
    <xf numFmtId="166" fontId="5" fillId="17" borderId="11" xfId="0" applyNumberFormat="1" applyFont="1" applyFill="1" applyBorder="1" applyAlignment="1">
      <alignment horizontal="center" wrapText="1"/>
    </xf>
    <xf numFmtId="1" fontId="5" fillId="17" borderId="11" xfId="0" applyNumberFormat="1" applyFont="1" applyFill="1" applyBorder="1" applyAlignment="1">
      <alignment horizontal="center" wrapText="1"/>
    </xf>
    <xf numFmtId="1" fontId="5" fillId="12" borderId="11" xfId="0" applyNumberFormat="1" applyFont="1" applyFill="1" applyBorder="1" applyAlignment="1">
      <alignment horizontal="center"/>
    </xf>
    <xf numFmtId="0" fontId="5" fillId="12" borderId="25" xfId="0" applyFont="1" applyFill="1" applyBorder="1" applyAlignment="1">
      <alignment horizontal="center"/>
    </xf>
    <xf numFmtId="0" fontId="5" fillId="12" borderId="12" xfId="0" applyFont="1" applyFill="1" applyBorder="1" applyAlignment="1">
      <alignment horizontal="center"/>
    </xf>
    <xf numFmtId="165" fontId="5" fillId="12" borderId="19" xfId="0" applyNumberFormat="1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166" fontId="5" fillId="17" borderId="6" xfId="0" applyNumberFormat="1" applyFont="1" applyFill="1" applyBorder="1" applyAlignment="1">
      <alignment horizontal="center" wrapText="1"/>
    </xf>
    <xf numFmtId="1" fontId="5" fillId="17" borderId="6" xfId="0" applyNumberFormat="1" applyFont="1" applyFill="1" applyBorder="1" applyAlignment="1">
      <alignment horizontal="center" wrapText="1"/>
    </xf>
    <xf numFmtId="1" fontId="5" fillId="12" borderId="6" xfId="0" applyNumberFormat="1" applyFont="1" applyFill="1" applyBorder="1" applyAlignment="1">
      <alignment horizontal="center"/>
    </xf>
    <xf numFmtId="0" fontId="5" fillId="12" borderId="22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165" fontId="5" fillId="12" borderId="17" xfId="0" applyNumberFormat="1" applyFont="1" applyFill="1" applyBorder="1" applyAlignment="1">
      <alignment horizontal="center"/>
    </xf>
    <xf numFmtId="0" fontId="5" fillId="17" borderId="13" xfId="0" applyFont="1" applyFill="1" applyBorder="1" applyAlignment="1">
      <alignment horizontal="center"/>
    </xf>
    <xf numFmtId="0" fontId="5" fillId="17" borderId="9" xfId="0" applyFont="1" applyFill="1" applyBorder="1" applyAlignment="1">
      <alignment horizontal="center"/>
    </xf>
    <xf numFmtId="0" fontId="5" fillId="12" borderId="13" xfId="0" applyFont="1" applyFill="1" applyBorder="1" applyAlignment="1">
      <alignment horizontal="center"/>
    </xf>
    <xf numFmtId="166" fontId="5" fillId="17" borderId="13" xfId="0" applyNumberFormat="1" applyFont="1" applyFill="1" applyBorder="1" applyAlignment="1">
      <alignment horizontal="center" wrapText="1"/>
    </xf>
    <xf numFmtId="1" fontId="5" fillId="17" borderId="13" xfId="0" applyNumberFormat="1" applyFont="1" applyFill="1" applyBorder="1" applyAlignment="1">
      <alignment horizontal="center" wrapText="1"/>
    </xf>
    <xf numFmtId="1" fontId="5" fillId="12" borderId="13" xfId="0" applyNumberFormat="1" applyFont="1" applyFill="1" applyBorder="1" applyAlignment="1">
      <alignment horizontal="center"/>
    </xf>
    <xf numFmtId="0" fontId="5" fillId="12" borderId="26" xfId="0" applyFont="1" applyFill="1" applyBorder="1" applyAlignment="1">
      <alignment horizontal="center"/>
    </xf>
    <xf numFmtId="0" fontId="5" fillId="12" borderId="14" xfId="0" applyFont="1" applyFill="1" applyBorder="1" applyAlignment="1">
      <alignment horizontal="center"/>
    </xf>
    <xf numFmtId="165" fontId="5" fillId="12" borderId="20" xfId="0" applyNumberFormat="1" applyFont="1" applyFill="1" applyBorder="1" applyAlignment="1">
      <alignment horizontal="center"/>
    </xf>
    <xf numFmtId="0" fontId="5" fillId="13" borderId="4" xfId="0" applyFont="1" applyFill="1" applyBorder="1" applyAlignment="1">
      <alignment horizontal="center"/>
    </xf>
    <xf numFmtId="0" fontId="5" fillId="16" borderId="11" xfId="0" applyFont="1" applyFill="1" applyBorder="1" applyAlignment="1">
      <alignment horizontal="center"/>
    </xf>
    <xf numFmtId="166" fontId="5" fillId="16" borderId="4" xfId="0" applyNumberFormat="1" applyFont="1" applyFill="1" applyBorder="1" applyAlignment="1">
      <alignment horizontal="center" wrapText="1"/>
    </xf>
    <xf numFmtId="1" fontId="5" fillId="16" borderId="4" xfId="0" applyNumberFormat="1" applyFont="1" applyFill="1" applyBorder="1" applyAlignment="1">
      <alignment horizontal="center" wrapText="1"/>
    </xf>
    <xf numFmtId="1" fontId="5" fillId="13" borderId="4" xfId="0" applyNumberFormat="1" applyFont="1" applyFill="1" applyBorder="1" applyAlignment="1">
      <alignment horizontal="center"/>
    </xf>
    <xf numFmtId="0" fontId="5" fillId="13" borderId="23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165" fontId="5" fillId="13" borderId="16" xfId="0" applyNumberFormat="1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3" borderId="6" xfId="0" applyFont="1" applyFill="1" applyBorder="1" applyAlignment="1">
      <alignment horizontal="center"/>
    </xf>
    <xf numFmtId="166" fontId="5" fillId="16" borderId="6" xfId="0" applyNumberFormat="1" applyFont="1" applyFill="1" applyBorder="1" applyAlignment="1">
      <alignment horizontal="center" wrapText="1"/>
    </xf>
    <xf numFmtId="1" fontId="5" fillId="13" borderId="6" xfId="0" applyNumberFormat="1" applyFont="1" applyFill="1" applyBorder="1" applyAlignment="1">
      <alignment horizontal="center"/>
    </xf>
    <xf numFmtId="0" fontId="5" fillId="13" borderId="22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165" fontId="5" fillId="13" borderId="17" xfId="0" applyNumberFormat="1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0" fontId="5" fillId="13" borderId="13" xfId="0" applyFont="1" applyFill="1" applyBorder="1" applyAlignment="1">
      <alignment horizontal="center"/>
    </xf>
    <xf numFmtId="166" fontId="5" fillId="13" borderId="13" xfId="0" applyNumberFormat="1" applyFont="1" applyFill="1" applyBorder="1" applyAlignment="1">
      <alignment horizontal="center"/>
    </xf>
    <xf numFmtId="1" fontId="5" fillId="13" borderId="13" xfId="0" applyNumberFormat="1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 wrapText="1"/>
    </xf>
    <xf numFmtId="0" fontId="5" fillId="13" borderId="26" xfId="0" applyFont="1" applyFill="1" applyBorder="1" applyAlignment="1">
      <alignment horizontal="center"/>
    </xf>
    <xf numFmtId="0" fontId="5" fillId="13" borderId="14" xfId="0" applyFont="1" applyFill="1" applyBorder="1" applyAlignment="1">
      <alignment horizontal="center"/>
    </xf>
    <xf numFmtId="165" fontId="5" fillId="13" borderId="20" xfId="0" applyNumberFormat="1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66" fontId="5" fillId="2" borderId="4" xfId="0" applyNumberFormat="1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5" fontId="5" fillId="2" borderId="16" xfId="0" applyNumberFormat="1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6" fontId="5" fillId="2" borderId="6" xfId="0" applyNumberFormat="1" applyFont="1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 wrapText="1"/>
    </xf>
    <xf numFmtId="0" fontId="5" fillId="2" borderId="2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5" fontId="5" fillId="2" borderId="17" xfId="0" applyNumberFormat="1" applyFont="1" applyFill="1" applyBorder="1" applyAlignment="1">
      <alignment horizontal="center"/>
    </xf>
    <xf numFmtId="166" fontId="5" fillId="8" borderId="6" xfId="0" applyNumberFormat="1" applyFont="1" applyFill="1" applyBorder="1" applyAlignment="1">
      <alignment horizontal="center" wrapText="1"/>
    </xf>
    <xf numFmtId="1" fontId="5" fillId="8" borderId="6" xfId="0" applyNumberFormat="1" applyFont="1" applyFill="1" applyBorder="1" applyAlignment="1">
      <alignment horizontal="center" wrapText="1"/>
    </xf>
    <xf numFmtId="0" fontId="5" fillId="15" borderId="9" xfId="0" applyFont="1" applyFill="1" applyBorder="1" applyAlignment="1">
      <alignment horizontal="center"/>
    </xf>
    <xf numFmtId="0" fontId="5" fillId="15" borderId="13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66" fontId="5" fillId="8" borderId="9" xfId="0" applyNumberFormat="1" applyFont="1" applyFill="1" applyBorder="1" applyAlignment="1">
      <alignment horizontal="center" wrapText="1"/>
    </xf>
    <xf numFmtId="1" fontId="5" fillId="8" borderId="9" xfId="0" applyNumberFormat="1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  <xf numFmtId="1" fontId="5" fillId="2" borderId="9" xfId="0" applyNumberFormat="1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65" fontId="5" fillId="2" borderId="18" xfId="0" applyNumberFormat="1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166" fontId="5" fillId="7" borderId="11" xfId="0" applyNumberFormat="1" applyFont="1" applyFill="1" applyBorder="1" applyAlignment="1">
      <alignment horizontal="center" wrapText="1"/>
    </xf>
    <xf numFmtId="1" fontId="5" fillId="7" borderId="11" xfId="0" applyNumberFormat="1" applyFont="1" applyFill="1" applyBorder="1" applyAlignment="1">
      <alignment horizontal="center" wrapText="1"/>
    </xf>
    <xf numFmtId="0" fontId="5" fillId="7" borderId="11" xfId="0" applyFont="1" applyFill="1" applyBorder="1" applyAlignment="1">
      <alignment horizontal="center" wrapText="1"/>
    </xf>
    <xf numFmtId="1" fontId="5" fillId="3" borderId="11" xfId="0" applyNumberFormat="1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165" fontId="5" fillId="3" borderId="19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166" fontId="5" fillId="7" borderId="6" xfId="0" applyNumberFormat="1" applyFont="1" applyFill="1" applyBorder="1" applyAlignment="1">
      <alignment horizontal="center" wrapText="1"/>
    </xf>
    <xf numFmtId="1" fontId="5" fillId="7" borderId="6" xfId="0" applyNumberFormat="1" applyFont="1" applyFill="1" applyBorder="1" applyAlignment="1">
      <alignment horizontal="center" wrapText="1"/>
    </xf>
    <xf numFmtId="0" fontId="5" fillId="7" borderId="6" xfId="0" applyFont="1" applyFill="1" applyBorder="1" applyAlignment="1">
      <alignment horizontal="center" wrapText="1"/>
    </xf>
    <xf numFmtId="1" fontId="5" fillId="3" borderId="6" xfId="0" applyNumberFormat="1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65" fontId="5" fillId="3" borderId="17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166" fontId="5" fillId="7" borderId="13" xfId="0" applyNumberFormat="1" applyFont="1" applyFill="1" applyBorder="1" applyAlignment="1">
      <alignment horizontal="center" wrapText="1"/>
    </xf>
    <xf numFmtId="1" fontId="5" fillId="7" borderId="13" xfId="0" applyNumberFormat="1" applyFont="1" applyFill="1" applyBorder="1" applyAlignment="1">
      <alignment horizontal="center" wrapText="1"/>
    </xf>
    <xf numFmtId="0" fontId="5" fillId="7" borderId="13" xfId="0" applyFont="1" applyFill="1" applyBorder="1" applyAlignment="1">
      <alignment horizontal="center" wrapText="1"/>
    </xf>
    <xf numFmtId="1" fontId="5" fillId="3" borderId="13" xfId="0" applyNumberFormat="1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65" fontId="5" fillId="3" borderId="20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6" fontId="5" fillId="6" borderId="4" xfId="0" applyNumberFormat="1" applyFont="1" applyFill="1" applyBorder="1" applyAlignment="1">
      <alignment horizontal="center" wrapText="1"/>
    </xf>
    <xf numFmtId="1" fontId="5" fillId="6" borderId="4" xfId="0" applyNumberFormat="1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0" fontId="5" fillId="6" borderId="6" xfId="0" applyFont="1" applyFill="1" applyBorder="1" applyAlignment="1">
      <alignment horizontal="center" wrapText="1"/>
    </xf>
    <xf numFmtId="1" fontId="5" fillId="4" borderId="4" xfId="0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5" fontId="5" fillId="4" borderId="16" xfId="0" applyNumberFormat="1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66" fontId="5" fillId="6" borderId="6" xfId="0" applyNumberFormat="1" applyFont="1" applyFill="1" applyBorder="1" applyAlignment="1">
      <alignment horizontal="center" wrapText="1"/>
    </xf>
    <xf numFmtId="1" fontId="5" fillId="6" borderId="6" xfId="0" applyNumberFormat="1" applyFont="1" applyFill="1" applyBorder="1" applyAlignment="1">
      <alignment horizontal="center" wrapText="1"/>
    </xf>
    <xf numFmtId="1" fontId="5" fillId="4" borderId="6" xfId="0" applyNumberFormat="1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165" fontId="5" fillId="4" borderId="17" xfId="0" applyNumberFormat="1" applyFont="1" applyFill="1" applyBorder="1" applyAlignment="1">
      <alignment horizontal="center"/>
    </xf>
    <xf numFmtId="0" fontId="5" fillId="21" borderId="6" xfId="0" applyFont="1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166" fontId="5" fillId="21" borderId="6" xfId="0" applyNumberFormat="1" applyFont="1" applyFill="1" applyBorder="1" applyAlignment="1">
      <alignment horizontal="center" wrapText="1"/>
    </xf>
    <xf numFmtId="1" fontId="5" fillId="21" borderId="6" xfId="0" applyNumberFormat="1" applyFont="1" applyFill="1" applyBorder="1" applyAlignment="1">
      <alignment horizontal="center" wrapText="1"/>
    </xf>
    <xf numFmtId="0" fontId="5" fillId="21" borderId="6" xfId="0" applyFont="1" applyFill="1" applyBorder="1" applyAlignment="1">
      <alignment horizontal="center" wrapText="1"/>
    </xf>
    <xf numFmtId="164" fontId="5" fillId="21" borderId="6" xfId="0" applyNumberFormat="1" applyFont="1" applyFill="1" applyBorder="1" applyAlignment="1">
      <alignment horizontal="center" wrapText="1"/>
    </xf>
    <xf numFmtId="0" fontId="5" fillId="22" borderId="22" xfId="0" applyFont="1" applyFill="1" applyBorder="1" applyAlignment="1">
      <alignment horizontal="center"/>
    </xf>
    <xf numFmtId="0" fontId="5" fillId="22" borderId="7" xfId="0" applyFont="1" applyFill="1" applyBorder="1" applyAlignment="1">
      <alignment horizontal="center"/>
    </xf>
    <xf numFmtId="165" fontId="5" fillId="22" borderId="17" xfId="0" applyNumberFormat="1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 wrapText="1"/>
    </xf>
    <xf numFmtId="165" fontId="5" fillId="6" borderId="17" xfId="0" applyNumberFormat="1" applyFont="1" applyFill="1" applyBorder="1" applyAlignment="1">
      <alignment horizontal="center" wrapText="1"/>
    </xf>
    <xf numFmtId="0" fontId="5" fillId="6" borderId="13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166" fontId="5" fillId="6" borderId="9" xfId="0" applyNumberFormat="1" applyFont="1" applyFill="1" applyBorder="1" applyAlignment="1">
      <alignment horizontal="center" wrapText="1"/>
    </xf>
    <xf numFmtId="1" fontId="5" fillId="6" borderId="9" xfId="0" applyNumberFormat="1" applyFont="1" applyFill="1" applyBorder="1" applyAlignment="1">
      <alignment horizontal="center" wrapText="1"/>
    </xf>
    <xf numFmtId="0" fontId="5" fillId="6" borderId="9" xfId="0" applyFont="1" applyFill="1" applyBorder="1" applyAlignment="1">
      <alignment horizontal="center" wrapText="1"/>
    </xf>
    <xf numFmtId="1" fontId="5" fillId="4" borderId="9" xfId="0" applyNumberFormat="1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165" fontId="5" fillId="4" borderId="18" xfId="0" applyNumberFormat="1" applyFont="1" applyFill="1" applyBorder="1" applyAlignment="1">
      <alignment horizontal="center"/>
    </xf>
    <xf numFmtId="0" fontId="5" fillId="19" borderId="11" xfId="0" applyFont="1" applyFill="1" applyBorder="1" applyAlignment="1">
      <alignment horizontal="center" wrapText="1"/>
    </xf>
    <xf numFmtId="0" fontId="5" fillId="20" borderId="11" xfId="0" applyFont="1" applyFill="1" applyBorder="1" applyAlignment="1">
      <alignment horizontal="center"/>
    </xf>
    <xf numFmtId="166" fontId="5" fillId="19" borderId="11" xfId="0" applyNumberFormat="1" applyFont="1" applyFill="1" applyBorder="1" applyAlignment="1">
      <alignment horizontal="center" wrapText="1"/>
    </xf>
    <xf numFmtId="1" fontId="5" fillId="19" borderId="11" xfId="0" applyNumberFormat="1" applyFont="1" applyFill="1" applyBorder="1" applyAlignment="1">
      <alignment horizontal="center" wrapText="1"/>
    </xf>
    <xf numFmtId="1" fontId="5" fillId="20" borderId="11" xfId="0" applyNumberFormat="1" applyFont="1" applyFill="1" applyBorder="1" applyAlignment="1">
      <alignment horizontal="center"/>
    </xf>
    <xf numFmtId="0" fontId="5" fillId="20" borderId="25" xfId="0" applyFont="1" applyFill="1" applyBorder="1" applyAlignment="1">
      <alignment horizontal="center"/>
    </xf>
    <xf numFmtId="0" fontId="5" fillId="20" borderId="12" xfId="0" applyFont="1" applyFill="1" applyBorder="1" applyAlignment="1">
      <alignment horizontal="center"/>
    </xf>
    <xf numFmtId="165" fontId="5" fillId="20" borderId="19" xfId="0" applyNumberFormat="1" applyFont="1" applyFill="1" applyBorder="1" applyAlignment="1">
      <alignment horizontal="center"/>
    </xf>
    <xf numFmtId="0" fontId="5" fillId="19" borderId="4" xfId="0" applyFont="1" applyFill="1" applyBorder="1" applyAlignment="1">
      <alignment horizontal="center" wrapText="1"/>
    </xf>
    <xf numFmtId="0" fontId="5" fillId="20" borderId="4" xfId="0" applyFont="1" applyFill="1" applyBorder="1" applyAlignment="1">
      <alignment horizontal="center"/>
    </xf>
    <xf numFmtId="166" fontId="5" fillId="19" borderId="4" xfId="0" applyNumberFormat="1" applyFont="1" applyFill="1" applyBorder="1" applyAlignment="1">
      <alignment horizontal="center" wrapText="1"/>
    </xf>
    <xf numFmtId="1" fontId="5" fillId="19" borderId="4" xfId="0" applyNumberFormat="1" applyFont="1" applyFill="1" applyBorder="1" applyAlignment="1">
      <alignment horizontal="center" wrapText="1"/>
    </xf>
    <xf numFmtId="1" fontId="5" fillId="20" borderId="4" xfId="0" applyNumberFormat="1" applyFont="1" applyFill="1" applyBorder="1" applyAlignment="1">
      <alignment horizontal="center"/>
    </xf>
    <xf numFmtId="0" fontId="5" fillId="20" borderId="23" xfId="0" applyFont="1" applyFill="1" applyBorder="1" applyAlignment="1">
      <alignment horizontal="center"/>
    </xf>
    <xf numFmtId="0" fontId="5" fillId="20" borderId="5" xfId="0" applyFont="1" applyFill="1" applyBorder="1" applyAlignment="1">
      <alignment horizontal="center"/>
    </xf>
    <xf numFmtId="165" fontId="5" fillId="20" borderId="16" xfId="0" applyNumberFormat="1" applyFont="1" applyFill="1" applyBorder="1" applyAlignment="1">
      <alignment horizontal="center"/>
    </xf>
    <xf numFmtId="0" fontId="5" fillId="14" borderId="6" xfId="0" applyFont="1" applyFill="1" applyBorder="1" applyAlignment="1">
      <alignment horizontal="center" wrapText="1"/>
    </xf>
    <xf numFmtId="0" fontId="5" fillId="9" borderId="6" xfId="0" applyFont="1" applyFill="1" applyBorder="1" applyAlignment="1">
      <alignment horizontal="center"/>
    </xf>
    <xf numFmtId="166" fontId="5" fillId="14" borderId="4" xfId="0" applyNumberFormat="1" applyFont="1" applyFill="1" applyBorder="1" applyAlignment="1">
      <alignment horizontal="center" wrapText="1"/>
    </xf>
    <xf numFmtId="1" fontId="5" fillId="14" borderId="6" xfId="0" applyNumberFormat="1" applyFont="1" applyFill="1" applyBorder="1" applyAlignment="1">
      <alignment horizontal="center" wrapText="1"/>
    </xf>
    <xf numFmtId="0" fontId="5" fillId="9" borderId="4" xfId="0" applyFont="1" applyFill="1" applyBorder="1" applyAlignment="1">
      <alignment horizontal="center"/>
    </xf>
    <xf numFmtId="1" fontId="5" fillId="9" borderId="6" xfId="0" applyNumberFormat="1" applyFont="1" applyFill="1" applyBorder="1" applyAlignment="1">
      <alignment horizontal="center"/>
    </xf>
    <xf numFmtId="0" fontId="5" fillId="9" borderId="22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165" fontId="5" fillId="9" borderId="17" xfId="0" applyNumberFormat="1" applyFont="1" applyFill="1" applyBorder="1" applyAlignment="1">
      <alignment horizontal="center"/>
    </xf>
    <xf numFmtId="166" fontId="5" fillId="14" borderId="6" xfId="0" applyNumberFormat="1" applyFont="1" applyFill="1" applyBorder="1" applyAlignment="1">
      <alignment horizontal="center" wrapText="1"/>
    </xf>
    <xf numFmtId="0" fontId="5" fillId="14" borderId="13" xfId="0" applyFont="1" applyFill="1" applyBorder="1" applyAlignment="1">
      <alignment horizontal="center" wrapText="1"/>
    </xf>
    <xf numFmtId="0" fontId="5" fillId="9" borderId="13" xfId="0" applyFont="1" applyFill="1" applyBorder="1" applyAlignment="1">
      <alignment horizontal="center"/>
    </xf>
    <xf numFmtId="166" fontId="5" fillId="14" borderId="13" xfId="0" applyNumberFormat="1" applyFont="1" applyFill="1" applyBorder="1" applyAlignment="1">
      <alignment horizontal="center" wrapText="1"/>
    </xf>
    <xf numFmtId="1" fontId="5" fillId="14" borderId="13" xfId="0" applyNumberFormat="1" applyFont="1" applyFill="1" applyBorder="1" applyAlignment="1">
      <alignment horizontal="center" wrapText="1"/>
    </xf>
    <xf numFmtId="1" fontId="5" fillId="9" borderId="13" xfId="0" applyNumberFormat="1" applyFont="1" applyFill="1" applyBorder="1" applyAlignment="1">
      <alignment horizontal="center"/>
    </xf>
    <xf numFmtId="0" fontId="5" fillId="9" borderId="26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  <xf numFmtId="165" fontId="5" fillId="9" borderId="20" xfId="0" applyNumberFormat="1" applyFont="1" applyFill="1" applyBorder="1" applyAlignment="1">
      <alignment horizontal="center"/>
    </xf>
    <xf numFmtId="0" fontId="5" fillId="10" borderId="21" xfId="0" applyFont="1" applyFill="1" applyBorder="1" applyAlignment="1">
      <alignment horizontal="center"/>
    </xf>
    <xf numFmtId="2" fontId="5" fillId="10" borderId="15" xfId="0" applyNumberFormat="1" applyFont="1" applyFill="1" applyBorder="1" applyAlignment="1">
      <alignment horizontal="center"/>
    </xf>
    <xf numFmtId="2" fontId="5" fillId="10" borderId="0" xfId="0" applyNumberFormat="1" applyFont="1" applyFill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0" borderId="2" xfId="0" applyFont="1" applyFill="1" applyBorder="1"/>
    <xf numFmtId="0" fontId="5" fillId="10" borderId="0" xfId="0" applyFont="1" applyFill="1"/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6" borderId="6" xfId="0" applyFont="1" applyFill="1" applyBorder="1" applyAlignment="1">
      <alignment horizontal="center" wrapText="1"/>
    </xf>
    <xf numFmtId="0" fontId="12" fillId="23" borderId="4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166" fontId="12" fillId="23" borderId="4" xfId="0" applyNumberFormat="1" applyFont="1" applyFill="1" applyBorder="1" applyAlignment="1">
      <alignment horizontal="center"/>
    </xf>
    <xf numFmtId="1" fontId="12" fillId="23" borderId="4" xfId="0" applyNumberFormat="1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1" fontId="12" fillId="23" borderId="32" xfId="0" applyNumberFormat="1" applyFont="1" applyFill="1" applyBorder="1" applyAlignment="1">
      <alignment horizontal="center"/>
    </xf>
    <xf numFmtId="0" fontId="12" fillId="23" borderId="23" xfId="0" applyFont="1" applyFill="1" applyBorder="1" applyAlignment="1">
      <alignment horizontal="center"/>
    </xf>
    <xf numFmtId="0" fontId="12" fillId="23" borderId="33" xfId="0" applyFont="1" applyFill="1" applyBorder="1" applyAlignment="1">
      <alignment horizontal="center"/>
    </xf>
    <xf numFmtId="165" fontId="13" fillId="11" borderId="19" xfId="0" applyNumberFormat="1" applyFont="1" applyFill="1" applyBorder="1" applyAlignment="1">
      <alignment horizontal="center"/>
    </xf>
    <xf numFmtId="0" fontId="13" fillId="11" borderId="4" xfId="0" applyFont="1" applyFill="1" applyBorder="1" applyAlignment="1">
      <alignment horizontal="center"/>
    </xf>
    <xf numFmtId="166" fontId="13" fillId="11" borderId="4" xfId="0" applyNumberFormat="1" applyFont="1" applyFill="1" applyBorder="1" applyAlignment="1">
      <alignment horizontal="center"/>
    </xf>
    <xf numFmtId="1" fontId="13" fillId="11" borderId="4" xfId="0" applyNumberFormat="1" applyFont="1" applyFill="1" applyBorder="1" applyAlignment="1">
      <alignment horizontal="center"/>
    </xf>
    <xf numFmtId="0" fontId="13" fillId="11" borderId="6" xfId="0" applyFont="1" applyFill="1" applyBorder="1" applyAlignment="1">
      <alignment horizontal="center"/>
    </xf>
    <xf numFmtId="1" fontId="13" fillId="11" borderId="32" xfId="0" applyNumberFormat="1" applyFont="1" applyFill="1" applyBorder="1" applyAlignment="1">
      <alignment horizontal="center"/>
    </xf>
    <xf numFmtId="0" fontId="13" fillId="11" borderId="23" xfId="0" applyFont="1" applyFill="1" applyBorder="1" applyAlignment="1">
      <alignment horizontal="center"/>
    </xf>
    <xf numFmtId="0" fontId="13" fillId="11" borderId="33" xfId="0" applyFont="1" applyFill="1" applyBorder="1" applyAlignment="1">
      <alignment horizontal="center"/>
    </xf>
    <xf numFmtId="165" fontId="13" fillId="11" borderId="16" xfId="0" applyNumberFormat="1" applyFont="1" applyFill="1" applyBorder="1" applyAlignment="1">
      <alignment horizontal="center"/>
    </xf>
    <xf numFmtId="165" fontId="5" fillId="11" borderId="16" xfId="0" applyNumberFormat="1" applyFont="1" applyFill="1" applyBorder="1" applyAlignment="1">
      <alignment horizontal="center"/>
    </xf>
    <xf numFmtId="165" fontId="5" fillId="11" borderId="39" xfId="0" applyNumberFormat="1" applyFont="1" applyFill="1" applyBorder="1" applyAlignment="1">
      <alignment horizontal="center"/>
    </xf>
    <xf numFmtId="165" fontId="5" fillId="10" borderId="15" xfId="0" applyNumberFormat="1" applyFont="1" applyFill="1" applyBorder="1" applyAlignment="1">
      <alignment horizontal="center"/>
    </xf>
    <xf numFmtId="165" fontId="5" fillId="10" borderId="0" xfId="0" applyNumberFormat="1" applyFont="1" applyFill="1" applyAlignment="1">
      <alignment horizontal="center"/>
    </xf>
    <xf numFmtId="165" fontId="5" fillId="10" borderId="0" xfId="0" applyNumberFormat="1" applyFont="1" applyFill="1"/>
    <xf numFmtId="165" fontId="5" fillId="11" borderId="19" xfId="0" applyNumberFormat="1" applyFont="1" applyFill="1" applyBorder="1" applyAlignment="1">
      <alignment horizontal="center"/>
    </xf>
    <xf numFmtId="0" fontId="13" fillId="13" borderId="7" xfId="0" applyFont="1" applyFill="1" applyBorder="1" applyAlignment="1">
      <alignment horizontal="center"/>
    </xf>
    <xf numFmtId="0" fontId="8" fillId="20" borderId="11" xfId="0" applyFont="1" applyFill="1" applyBorder="1" applyAlignment="1">
      <alignment horizontal="center"/>
    </xf>
    <xf numFmtId="165" fontId="12" fillId="23" borderId="16" xfId="0" applyNumberFormat="1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11" borderId="27" xfId="0" applyFont="1" applyFill="1" applyBorder="1" applyAlignment="1">
      <alignment horizontal="center" vertical="center" textRotation="90"/>
    </xf>
    <xf numFmtId="0" fontId="5" fillId="12" borderId="27" xfId="0" applyFont="1" applyFill="1" applyBorder="1" applyAlignment="1">
      <alignment horizontal="center" vertical="center" textRotation="90"/>
    </xf>
    <xf numFmtId="0" fontId="5" fillId="3" borderId="27" xfId="0" applyFont="1" applyFill="1" applyBorder="1" applyAlignment="1">
      <alignment horizontal="center" vertical="center" textRotation="90"/>
    </xf>
    <xf numFmtId="0" fontId="5" fillId="9" borderId="27" xfId="0" applyFont="1" applyFill="1" applyBorder="1" applyAlignment="1">
      <alignment horizontal="center" vertical="center" textRotation="90"/>
    </xf>
    <xf numFmtId="0" fontId="5" fillId="2" borderId="27" xfId="0" applyFont="1" applyFill="1" applyBorder="1" applyAlignment="1">
      <alignment horizontal="center" vertical="center" textRotation="90"/>
    </xf>
    <xf numFmtId="0" fontId="5" fillId="13" borderId="27" xfId="0" applyFont="1" applyFill="1" applyBorder="1" applyAlignment="1">
      <alignment horizontal="center" vertical="center" textRotation="90" wrapText="1"/>
    </xf>
    <xf numFmtId="0" fontId="5" fillId="4" borderId="40" xfId="0" applyFont="1" applyFill="1" applyBorder="1" applyAlignment="1">
      <alignment horizontal="center" vertical="center" textRotation="90"/>
    </xf>
    <xf numFmtId="0" fontId="5" fillId="4" borderId="41" xfId="0" applyFont="1" applyFill="1" applyBorder="1" applyAlignment="1">
      <alignment horizontal="center" vertical="center" textRotation="90"/>
    </xf>
    <xf numFmtId="0" fontId="5" fillId="4" borderId="35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_Surv1 LFS_1" xfId="1" xr:uid="{EBEC8590-C1E8-49DF-A4BE-E5BF95D50378}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</xdr:row>
      <xdr:rowOff>66674</xdr:rowOff>
    </xdr:from>
    <xdr:to>
      <xdr:col>16</xdr:col>
      <xdr:colOff>26390</xdr:colOff>
      <xdr:row>34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27F1E1-9B23-6D63-E3A0-A2CECB792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1F80-28A1-4AC1-AE20-B27362CB655B}">
  <dimension ref="A1:W75"/>
  <sheetViews>
    <sheetView topLeftCell="A50" workbookViewId="0">
      <selection activeCell="C74" sqref="C74"/>
    </sheetView>
  </sheetViews>
  <sheetFormatPr defaultColWidth="9.140625" defaultRowHeight="12.75" x14ac:dyDescent="0.2"/>
  <cols>
    <col min="1" max="1" width="5.85546875" style="1" customWidth="1"/>
    <col min="2" max="2" width="7.7109375" style="1" customWidth="1"/>
    <col min="3" max="4" width="8.5703125" style="1" customWidth="1"/>
    <col min="5" max="5" width="7.85546875" style="1" customWidth="1"/>
    <col min="6" max="6" width="11.85546875" style="1" customWidth="1"/>
    <col min="7" max="7" width="16.28515625" style="2" customWidth="1"/>
    <col min="8" max="8" width="7" style="1" customWidth="1"/>
    <col min="9" max="9" width="11.85546875" style="1" customWidth="1"/>
    <col min="10" max="10" width="8" style="1" customWidth="1"/>
    <col min="11" max="11" width="8.140625" style="1" customWidth="1"/>
    <col min="12" max="12" width="8" style="3" customWidth="1"/>
    <col min="13" max="13" width="7.7109375" style="1" customWidth="1"/>
    <col min="14" max="14" width="9.140625" style="1"/>
    <col min="15" max="15" width="13.42578125" style="1" customWidth="1"/>
    <col min="16" max="17" width="13.28515625" style="1" customWidth="1"/>
    <col min="18" max="18" width="16.42578125" style="1" customWidth="1"/>
    <col min="19" max="19" width="18.85546875" style="1" customWidth="1"/>
    <col min="20" max="16384" width="9.140625" style="1"/>
  </cols>
  <sheetData>
    <row r="1" spans="1:17" ht="63" customHeight="1" thickBot="1" x14ac:dyDescent="0.25">
      <c r="A1" s="252" t="s">
        <v>24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7" ht="35.25" customHeight="1" thickBo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15</v>
      </c>
      <c r="F2" s="11" t="s">
        <v>4</v>
      </c>
      <c r="G2" s="11" t="s">
        <v>12</v>
      </c>
      <c r="H2" s="11" t="s">
        <v>5</v>
      </c>
      <c r="I2" s="11" t="s">
        <v>14</v>
      </c>
      <c r="J2" s="12" t="s">
        <v>9</v>
      </c>
      <c r="K2" s="13" t="s">
        <v>10</v>
      </c>
      <c r="L2" s="14" t="s">
        <v>11</v>
      </c>
      <c r="M2" s="15"/>
    </row>
    <row r="3" spans="1:17" ht="19.5" customHeight="1" thickBot="1" x14ac:dyDescent="0.25">
      <c r="A3" s="16">
        <v>2025</v>
      </c>
      <c r="B3" s="16">
        <v>1</v>
      </c>
      <c r="C3" s="16">
        <v>306</v>
      </c>
      <c r="D3" s="17">
        <v>45737</v>
      </c>
      <c r="E3" s="18">
        <v>59</v>
      </c>
      <c r="F3" s="16">
        <v>1</v>
      </c>
      <c r="G3" s="16" t="s">
        <v>22</v>
      </c>
      <c r="H3" s="19"/>
      <c r="I3" s="18" t="s">
        <v>23</v>
      </c>
      <c r="J3" s="20"/>
      <c r="K3" s="21"/>
      <c r="L3" s="232"/>
      <c r="M3" s="254" t="s">
        <v>18</v>
      </c>
      <c r="Q3"/>
    </row>
    <row r="4" spans="1:17" ht="19.5" customHeight="1" thickBot="1" x14ac:dyDescent="0.25">
      <c r="A4" s="23">
        <v>2025</v>
      </c>
      <c r="B4" s="24">
        <f t="shared" ref="B4:B15" si="0">B3</f>
        <v>1</v>
      </c>
      <c r="C4" s="233">
        <v>308</v>
      </c>
      <c r="D4" s="234">
        <v>45735</v>
      </c>
      <c r="E4" s="235">
        <v>34</v>
      </c>
      <c r="F4" s="233">
        <v>3</v>
      </c>
      <c r="G4" s="236" t="s">
        <v>21</v>
      </c>
      <c r="H4" s="237">
        <v>4</v>
      </c>
      <c r="I4" s="235" t="s">
        <v>26</v>
      </c>
      <c r="J4" s="238">
        <v>10</v>
      </c>
      <c r="K4" s="239">
        <v>11</v>
      </c>
      <c r="L4" s="240">
        <v>10.25</v>
      </c>
      <c r="M4" s="254"/>
      <c r="Q4"/>
    </row>
    <row r="5" spans="1:17" ht="19.5" customHeight="1" thickBot="1" x14ac:dyDescent="0.25">
      <c r="A5" s="23">
        <v>2025</v>
      </c>
      <c r="B5" s="24">
        <f t="shared" si="0"/>
        <v>1</v>
      </c>
      <c r="C5" s="23">
        <v>311</v>
      </c>
      <c r="D5" s="25">
        <v>45737</v>
      </c>
      <c r="E5" s="26">
        <v>60</v>
      </c>
      <c r="F5" s="23">
        <v>3</v>
      </c>
      <c r="G5" s="27" t="s">
        <v>21</v>
      </c>
      <c r="H5" s="28">
        <v>1</v>
      </c>
      <c r="I5" s="26" t="s">
        <v>26</v>
      </c>
      <c r="J5" s="29">
        <v>7</v>
      </c>
      <c r="K5" s="30">
        <v>7</v>
      </c>
      <c r="L5" s="241">
        <v>7</v>
      </c>
      <c r="M5" s="254"/>
      <c r="Q5"/>
    </row>
    <row r="6" spans="1:17" ht="19.5" customHeight="1" thickBot="1" x14ac:dyDescent="0.25">
      <c r="A6" s="23">
        <v>2025</v>
      </c>
      <c r="B6" s="24">
        <f t="shared" si="0"/>
        <v>1</v>
      </c>
      <c r="C6" s="23">
        <v>315</v>
      </c>
      <c r="D6" s="25"/>
      <c r="E6" s="26"/>
      <c r="F6" s="23">
        <v>0</v>
      </c>
      <c r="G6" s="27" t="s">
        <v>13</v>
      </c>
      <c r="H6" s="28"/>
      <c r="I6" s="26"/>
      <c r="J6" s="29"/>
      <c r="K6" s="30"/>
      <c r="L6" s="241"/>
      <c r="M6" s="254"/>
      <c r="Q6"/>
    </row>
    <row r="7" spans="1:17" ht="19.5" customHeight="1" thickBot="1" x14ac:dyDescent="0.25">
      <c r="A7" s="23">
        <v>2025</v>
      </c>
      <c r="B7" s="24">
        <f t="shared" si="0"/>
        <v>1</v>
      </c>
      <c r="C7" s="23">
        <v>322</v>
      </c>
      <c r="D7" s="25">
        <v>45737</v>
      </c>
      <c r="E7" s="26">
        <v>61</v>
      </c>
      <c r="F7" s="23">
        <v>3</v>
      </c>
      <c r="G7" s="27" t="s">
        <v>21</v>
      </c>
      <c r="H7" s="28">
        <v>3</v>
      </c>
      <c r="I7" s="26" t="s">
        <v>26</v>
      </c>
      <c r="J7" s="29">
        <v>10</v>
      </c>
      <c r="K7" s="30">
        <v>11</v>
      </c>
      <c r="L7" s="241">
        <v>10.7</v>
      </c>
      <c r="M7" s="254"/>
      <c r="Q7"/>
    </row>
    <row r="8" spans="1:17" ht="19.5" customHeight="1" thickBot="1" x14ac:dyDescent="0.25">
      <c r="A8" s="23">
        <v>2025</v>
      </c>
      <c r="B8" s="24">
        <f t="shared" si="0"/>
        <v>1</v>
      </c>
      <c r="C8" s="23">
        <v>323</v>
      </c>
      <c r="D8" s="25"/>
      <c r="E8" s="26"/>
      <c r="F8" s="23">
        <v>0</v>
      </c>
      <c r="G8" s="27" t="s">
        <v>13</v>
      </c>
      <c r="H8" s="28"/>
      <c r="I8" s="26"/>
      <c r="J8" s="29"/>
      <c r="K8" s="30"/>
      <c r="L8" s="241"/>
      <c r="M8" s="254"/>
      <c r="Q8"/>
    </row>
    <row r="9" spans="1:17" ht="19.5" customHeight="1" thickBot="1" x14ac:dyDescent="0.25">
      <c r="A9" s="23">
        <v>2025</v>
      </c>
      <c r="B9" s="24">
        <f t="shared" si="0"/>
        <v>1</v>
      </c>
      <c r="C9" s="23">
        <v>327</v>
      </c>
      <c r="D9" s="25"/>
      <c r="E9" s="26"/>
      <c r="F9" s="23">
        <v>0</v>
      </c>
      <c r="G9" s="27" t="s">
        <v>13</v>
      </c>
      <c r="H9" s="28"/>
      <c r="I9" s="26"/>
      <c r="J9" s="29"/>
      <c r="K9" s="30"/>
      <c r="L9" s="241"/>
      <c r="M9" s="254"/>
      <c r="Q9"/>
    </row>
    <row r="10" spans="1:17" ht="19.5" customHeight="1" thickBot="1" x14ac:dyDescent="0.25">
      <c r="A10" s="23">
        <v>2025</v>
      </c>
      <c r="B10" s="24">
        <f t="shared" si="0"/>
        <v>1</v>
      </c>
      <c r="C10" s="23">
        <v>328</v>
      </c>
      <c r="D10" s="25"/>
      <c r="E10" s="26"/>
      <c r="F10" s="23">
        <v>0</v>
      </c>
      <c r="G10" s="27" t="s">
        <v>13</v>
      </c>
      <c r="H10" s="28"/>
      <c r="I10" s="26"/>
      <c r="J10" s="29"/>
      <c r="K10" s="30"/>
      <c r="L10" s="241"/>
      <c r="M10" s="254"/>
      <c r="Q10"/>
    </row>
    <row r="11" spans="1:17" ht="19.5" customHeight="1" thickBot="1" x14ac:dyDescent="0.25">
      <c r="A11" s="23">
        <v>2025</v>
      </c>
      <c r="B11" s="24">
        <f t="shared" si="0"/>
        <v>1</v>
      </c>
      <c r="C11" s="23">
        <v>329</v>
      </c>
      <c r="D11" s="25">
        <v>45735</v>
      </c>
      <c r="E11" s="26">
        <v>40</v>
      </c>
      <c r="F11" s="23">
        <v>2</v>
      </c>
      <c r="G11" s="27" t="s">
        <v>21</v>
      </c>
      <c r="H11" s="28">
        <v>7</v>
      </c>
      <c r="I11" s="26" t="s">
        <v>23</v>
      </c>
      <c r="J11" s="29">
        <v>9</v>
      </c>
      <c r="K11" s="30">
        <v>13</v>
      </c>
      <c r="L11" s="241">
        <v>11.4285714285714</v>
      </c>
      <c r="M11" s="254"/>
      <c r="Q11"/>
    </row>
    <row r="12" spans="1:17" ht="19.5" customHeight="1" thickBot="1" x14ac:dyDescent="0.25">
      <c r="A12" s="23">
        <v>2025</v>
      </c>
      <c r="B12" s="24">
        <f t="shared" si="0"/>
        <v>1</v>
      </c>
      <c r="C12" s="23">
        <v>330</v>
      </c>
      <c r="D12" s="25">
        <v>45737</v>
      </c>
      <c r="E12" s="26">
        <v>41</v>
      </c>
      <c r="F12" s="23">
        <v>3</v>
      </c>
      <c r="G12" s="27" t="s">
        <v>21</v>
      </c>
      <c r="H12" s="28">
        <v>8</v>
      </c>
      <c r="I12" s="26" t="s">
        <v>26</v>
      </c>
      <c r="J12" s="29">
        <v>7</v>
      </c>
      <c r="K12" s="30">
        <v>18</v>
      </c>
      <c r="L12" s="241">
        <v>9.6</v>
      </c>
      <c r="M12" s="254"/>
      <c r="Q12"/>
    </row>
    <row r="13" spans="1:17" ht="19.5" customHeight="1" thickBot="1" x14ac:dyDescent="0.25">
      <c r="A13" s="23">
        <v>2025</v>
      </c>
      <c r="B13" s="24">
        <f t="shared" si="0"/>
        <v>1</v>
      </c>
      <c r="C13" s="23">
        <v>335</v>
      </c>
      <c r="D13" s="25"/>
      <c r="E13" s="26"/>
      <c r="F13" s="23">
        <v>0</v>
      </c>
      <c r="G13" s="27" t="s">
        <v>13</v>
      </c>
      <c r="H13" s="28"/>
      <c r="I13" s="26"/>
      <c r="J13" s="29"/>
      <c r="K13" s="30"/>
      <c r="L13" s="241"/>
      <c r="M13" s="254"/>
      <c r="Q13"/>
    </row>
    <row r="14" spans="1:17" ht="19.5" customHeight="1" thickBot="1" x14ac:dyDescent="0.25">
      <c r="A14" s="23">
        <v>2025</v>
      </c>
      <c r="B14" s="24">
        <f t="shared" si="0"/>
        <v>1</v>
      </c>
      <c r="C14" s="23">
        <v>336</v>
      </c>
      <c r="D14" s="25"/>
      <c r="E14" s="26"/>
      <c r="F14" s="23">
        <v>0</v>
      </c>
      <c r="G14" s="27" t="s">
        <v>13</v>
      </c>
      <c r="H14" s="28"/>
      <c r="I14" s="26"/>
      <c r="J14" s="29"/>
      <c r="K14" s="30"/>
      <c r="L14" s="241"/>
      <c r="M14" s="254"/>
      <c r="Q14"/>
    </row>
    <row r="15" spans="1:17" ht="19.5" customHeight="1" thickBot="1" x14ac:dyDescent="0.25">
      <c r="A15" s="32">
        <v>2025</v>
      </c>
      <c r="B15" s="24">
        <f t="shared" si="0"/>
        <v>1</v>
      </c>
      <c r="C15" s="32">
        <v>338</v>
      </c>
      <c r="D15" s="33"/>
      <c r="E15" s="34"/>
      <c r="F15" s="32">
        <v>0</v>
      </c>
      <c r="G15" s="27" t="s">
        <v>13</v>
      </c>
      <c r="H15" s="35"/>
      <c r="I15" s="34"/>
      <c r="J15" s="36"/>
      <c r="K15" s="37"/>
      <c r="L15" s="242"/>
      <c r="M15" s="254"/>
      <c r="Q15"/>
    </row>
    <row r="16" spans="1:17" ht="19.5" customHeight="1" thickBot="1" x14ac:dyDescent="0.25">
      <c r="A16" s="39">
        <v>2025</v>
      </c>
      <c r="B16" s="40">
        <f>B3</f>
        <v>1</v>
      </c>
      <c r="C16" s="39">
        <v>340</v>
      </c>
      <c r="D16" s="41"/>
      <c r="E16" s="42"/>
      <c r="F16" s="39">
        <v>0</v>
      </c>
      <c r="G16" s="39" t="s">
        <v>13</v>
      </c>
      <c r="H16" s="43"/>
      <c r="I16" s="43"/>
      <c r="J16" s="44"/>
      <c r="K16" s="45"/>
      <c r="L16" s="46"/>
      <c r="M16" s="255" t="s">
        <v>16</v>
      </c>
      <c r="Q16"/>
    </row>
    <row r="17" spans="1:23" ht="19.5" customHeight="1" thickBot="1" x14ac:dyDescent="0.25">
      <c r="A17" s="47">
        <v>2025</v>
      </c>
      <c r="B17" s="47">
        <f>B3</f>
        <v>1</v>
      </c>
      <c r="C17" s="48">
        <v>342</v>
      </c>
      <c r="D17" s="49"/>
      <c r="E17" s="50"/>
      <c r="F17" s="48">
        <v>0</v>
      </c>
      <c r="G17" s="48" t="s">
        <v>13</v>
      </c>
      <c r="H17" s="51"/>
      <c r="I17" s="51"/>
      <c r="J17" s="52"/>
      <c r="K17" s="53"/>
      <c r="L17" s="54"/>
      <c r="M17" s="255"/>
      <c r="Q17"/>
    </row>
    <row r="18" spans="1:23" ht="19.5" customHeight="1" thickBot="1" x14ac:dyDescent="0.25">
      <c r="A18" s="47">
        <v>2025</v>
      </c>
      <c r="B18" s="47">
        <f>B3</f>
        <v>1</v>
      </c>
      <c r="C18" s="48">
        <v>343</v>
      </c>
      <c r="D18" s="49"/>
      <c r="E18" s="50"/>
      <c r="F18" s="48">
        <v>0</v>
      </c>
      <c r="G18" s="48" t="s">
        <v>13</v>
      </c>
      <c r="H18" s="51"/>
      <c r="I18" s="51"/>
      <c r="J18" s="52"/>
      <c r="K18" s="53"/>
      <c r="L18" s="54"/>
      <c r="M18" s="255"/>
      <c r="Q18"/>
    </row>
    <row r="19" spans="1:23" ht="19.5" customHeight="1" thickBot="1" x14ac:dyDescent="0.25">
      <c r="A19" s="47">
        <v>2025</v>
      </c>
      <c r="B19" s="47">
        <f>B4</f>
        <v>1</v>
      </c>
      <c r="C19" s="48">
        <v>344</v>
      </c>
      <c r="D19" s="49"/>
      <c r="E19" s="50"/>
      <c r="F19" s="48">
        <v>0</v>
      </c>
      <c r="G19" s="48" t="s">
        <v>13</v>
      </c>
      <c r="H19" s="51"/>
      <c r="I19" s="51"/>
      <c r="J19" s="52"/>
      <c r="K19" s="53"/>
      <c r="L19" s="54"/>
      <c r="M19" s="255"/>
      <c r="N19" s="7"/>
      <c r="O19" s="7"/>
      <c r="W19"/>
    </row>
    <row r="20" spans="1:23" ht="19.5" customHeight="1" thickBot="1" x14ac:dyDescent="0.25">
      <c r="A20" s="47">
        <v>2025</v>
      </c>
      <c r="B20" s="47">
        <f>B5</f>
        <v>1</v>
      </c>
      <c r="C20" s="48">
        <v>345</v>
      </c>
      <c r="D20" s="49"/>
      <c r="E20" s="50"/>
      <c r="F20" s="48">
        <v>0</v>
      </c>
      <c r="G20" s="48" t="s">
        <v>13</v>
      </c>
      <c r="H20" s="51"/>
      <c r="I20" s="51"/>
      <c r="J20" s="52"/>
      <c r="K20" s="53"/>
      <c r="L20" s="54"/>
      <c r="M20" s="255"/>
      <c r="N20" s="7"/>
      <c r="O20" s="7"/>
      <c r="W20"/>
    </row>
    <row r="21" spans="1:23" ht="19.5" customHeight="1" thickBot="1" x14ac:dyDescent="0.25">
      <c r="A21" s="55">
        <v>2025</v>
      </c>
      <c r="B21" s="56">
        <f>B6</f>
        <v>1</v>
      </c>
      <c r="C21" s="57">
        <v>346</v>
      </c>
      <c r="D21" s="58"/>
      <c r="E21" s="59"/>
      <c r="F21" s="57">
        <v>0</v>
      </c>
      <c r="G21" s="57" t="s">
        <v>13</v>
      </c>
      <c r="H21" s="60"/>
      <c r="I21" s="60"/>
      <c r="J21" s="61"/>
      <c r="K21" s="62"/>
      <c r="L21" s="63"/>
      <c r="M21" s="255"/>
      <c r="N21" s="7"/>
      <c r="O21" s="7"/>
      <c r="W21"/>
    </row>
    <row r="22" spans="1:23" ht="19.5" customHeight="1" thickBot="1" x14ac:dyDescent="0.25">
      <c r="A22" s="64">
        <v>2025</v>
      </c>
      <c r="B22" s="65">
        <f>B3</f>
        <v>1</v>
      </c>
      <c r="C22" s="64">
        <v>401</v>
      </c>
      <c r="D22" s="66"/>
      <c r="E22" s="67"/>
      <c r="F22" s="64">
        <v>0</v>
      </c>
      <c r="G22" s="64" t="s">
        <v>13</v>
      </c>
      <c r="H22" s="68"/>
      <c r="I22" s="68"/>
      <c r="J22" s="69"/>
      <c r="K22" s="70"/>
      <c r="L22" s="71"/>
      <c r="M22" s="259" t="s">
        <v>17</v>
      </c>
      <c r="N22" s="7"/>
      <c r="O22" s="7"/>
      <c r="W22"/>
    </row>
    <row r="23" spans="1:23" ht="19.5" customHeight="1" thickBot="1" x14ac:dyDescent="0.25">
      <c r="A23" s="64">
        <v>2025</v>
      </c>
      <c r="B23" s="72">
        <f>B3</f>
        <v>1</v>
      </c>
      <c r="C23" s="73">
        <v>404</v>
      </c>
      <c r="D23" s="74"/>
      <c r="E23" s="67"/>
      <c r="F23" s="64">
        <v>0</v>
      </c>
      <c r="G23" s="73" t="s">
        <v>13</v>
      </c>
      <c r="H23" s="75"/>
      <c r="I23" s="75"/>
      <c r="J23" s="76"/>
      <c r="K23" s="77"/>
      <c r="L23" s="78"/>
      <c r="M23" s="259"/>
      <c r="N23" s="7"/>
      <c r="O23" s="7"/>
      <c r="W23"/>
    </row>
    <row r="24" spans="1:23" ht="19.5" customHeight="1" thickBot="1" x14ac:dyDescent="0.25">
      <c r="A24" s="79">
        <v>2025</v>
      </c>
      <c r="B24" s="79">
        <f>B3</f>
        <v>1</v>
      </c>
      <c r="C24" s="80">
        <v>405</v>
      </c>
      <c r="D24" s="81"/>
      <c r="E24" s="82"/>
      <c r="F24" s="83">
        <v>0</v>
      </c>
      <c r="G24" s="80" t="s">
        <v>13</v>
      </c>
      <c r="H24" s="82"/>
      <c r="I24" s="82"/>
      <c r="J24" s="84"/>
      <c r="K24" s="85"/>
      <c r="L24" s="86"/>
      <c r="M24" s="259"/>
      <c r="N24" s="7"/>
      <c r="O24" s="7"/>
      <c r="W24"/>
    </row>
    <row r="25" spans="1:23" ht="19.5" customHeight="1" thickBot="1" x14ac:dyDescent="0.25">
      <c r="A25" s="87">
        <v>2025</v>
      </c>
      <c r="B25" s="87">
        <f>B3</f>
        <v>1</v>
      </c>
      <c r="C25" s="88">
        <v>411</v>
      </c>
      <c r="D25" s="89"/>
      <c r="E25" s="90"/>
      <c r="F25" s="91">
        <v>0</v>
      </c>
      <c r="G25" s="88" t="s">
        <v>13</v>
      </c>
      <c r="H25" s="90"/>
      <c r="I25" s="90"/>
      <c r="J25" s="92"/>
      <c r="K25" s="93"/>
      <c r="L25" s="94"/>
      <c r="M25" s="258" t="s">
        <v>19</v>
      </c>
      <c r="N25" s="7"/>
      <c r="O25" s="7"/>
      <c r="W25"/>
    </row>
    <row r="26" spans="1:23" ht="19.5" customHeight="1" thickBot="1" x14ac:dyDescent="0.25">
      <c r="A26" s="95">
        <v>2025</v>
      </c>
      <c r="B26" s="95">
        <f>B3</f>
        <v>1</v>
      </c>
      <c r="C26" s="96">
        <v>418</v>
      </c>
      <c r="D26" s="97"/>
      <c r="E26" s="98"/>
      <c r="F26" s="99">
        <v>0</v>
      </c>
      <c r="G26" s="96" t="s">
        <v>13</v>
      </c>
      <c r="H26" s="98"/>
      <c r="I26" s="98"/>
      <c r="J26" s="100"/>
      <c r="K26" s="101"/>
      <c r="L26" s="102"/>
      <c r="M26" s="258"/>
      <c r="N26" s="7"/>
      <c r="O26" s="7"/>
      <c r="W26"/>
    </row>
    <row r="27" spans="1:23" ht="19.5" customHeight="1" thickBot="1" x14ac:dyDescent="0.25">
      <c r="A27" s="95">
        <v>2025</v>
      </c>
      <c r="B27" s="95">
        <f>B3</f>
        <v>1</v>
      </c>
      <c r="C27" s="96">
        <v>501</v>
      </c>
      <c r="D27" s="103"/>
      <c r="E27" s="104"/>
      <c r="F27" s="99">
        <v>0</v>
      </c>
      <c r="G27" s="96" t="s">
        <v>13</v>
      </c>
      <c r="H27" s="98"/>
      <c r="I27" s="98"/>
      <c r="J27" s="100"/>
      <c r="K27" s="101"/>
      <c r="L27" s="102"/>
      <c r="M27" s="258"/>
      <c r="N27" s="7"/>
      <c r="O27" s="7"/>
      <c r="W27"/>
    </row>
    <row r="28" spans="1:23" ht="19.5" customHeight="1" thickBot="1" x14ac:dyDescent="0.25">
      <c r="A28" s="95">
        <v>2025</v>
      </c>
      <c r="B28" s="95">
        <f>B3</f>
        <v>1</v>
      </c>
      <c r="C28" s="96">
        <v>504</v>
      </c>
      <c r="D28" s="97"/>
      <c r="E28" s="98"/>
      <c r="F28" s="99">
        <v>0</v>
      </c>
      <c r="G28" s="96" t="s">
        <v>13</v>
      </c>
      <c r="H28" s="98"/>
      <c r="I28" s="98"/>
      <c r="J28" s="100"/>
      <c r="K28" s="101"/>
      <c r="L28" s="102"/>
      <c r="M28" s="258"/>
      <c r="N28" s="7"/>
      <c r="O28" s="7"/>
      <c r="W28"/>
    </row>
    <row r="29" spans="1:23" ht="19.5" customHeight="1" thickBot="1" x14ac:dyDescent="0.25">
      <c r="A29" s="95">
        <v>2025</v>
      </c>
      <c r="B29" s="95">
        <f>B3</f>
        <v>1</v>
      </c>
      <c r="C29" s="96">
        <v>519</v>
      </c>
      <c r="D29" s="97">
        <v>45736</v>
      </c>
      <c r="E29" s="98">
        <v>43</v>
      </c>
      <c r="F29" s="99">
        <v>1</v>
      </c>
      <c r="G29" s="96" t="s">
        <v>21</v>
      </c>
      <c r="H29" s="98">
        <v>57</v>
      </c>
      <c r="I29" s="98" t="s">
        <v>23</v>
      </c>
      <c r="J29" s="100">
        <v>6</v>
      </c>
      <c r="K29" s="101">
        <v>15</v>
      </c>
      <c r="L29" s="102">
        <v>12.5614035087719</v>
      </c>
      <c r="M29" s="258"/>
      <c r="N29" s="7"/>
      <c r="O29" s="7"/>
      <c r="W29"/>
    </row>
    <row r="30" spans="1:23" ht="19.5" customHeight="1" thickBot="1" x14ac:dyDescent="0.25">
      <c r="A30" s="95">
        <v>2025</v>
      </c>
      <c r="B30" s="95">
        <f>B3</f>
        <v>1</v>
      </c>
      <c r="C30" s="96">
        <v>602</v>
      </c>
      <c r="D30" s="103"/>
      <c r="E30" s="104"/>
      <c r="F30" s="99">
        <v>0</v>
      </c>
      <c r="G30" s="96" t="s">
        <v>13</v>
      </c>
      <c r="H30" s="98"/>
      <c r="I30" s="98"/>
      <c r="J30" s="100"/>
      <c r="K30" s="101"/>
      <c r="L30" s="102"/>
      <c r="M30" s="258"/>
      <c r="N30" s="7"/>
      <c r="O30" s="7"/>
      <c r="W30"/>
    </row>
    <row r="31" spans="1:23" ht="19.5" customHeight="1" thickBot="1" x14ac:dyDescent="0.25">
      <c r="A31" s="95">
        <v>2025</v>
      </c>
      <c r="B31" s="95">
        <f>B3</f>
        <v>1</v>
      </c>
      <c r="C31" s="96">
        <v>606</v>
      </c>
      <c r="D31" s="97"/>
      <c r="E31" s="98"/>
      <c r="F31" s="99">
        <v>0</v>
      </c>
      <c r="G31" s="96" t="s">
        <v>13</v>
      </c>
      <c r="H31" s="98"/>
      <c r="I31" s="98"/>
      <c r="J31" s="100"/>
      <c r="K31" s="101"/>
      <c r="L31" s="102"/>
      <c r="M31" s="258"/>
      <c r="N31" s="7"/>
      <c r="O31" s="7"/>
      <c r="W31"/>
    </row>
    <row r="32" spans="1:23" ht="19.5" customHeight="1" thickBot="1" x14ac:dyDescent="0.25">
      <c r="A32" s="95">
        <v>2025</v>
      </c>
      <c r="B32" s="95">
        <f>B3</f>
        <v>1</v>
      </c>
      <c r="C32" s="96">
        <v>609</v>
      </c>
      <c r="D32" s="97"/>
      <c r="E32" s="98"/>
      <c r="F32" s="99">
        <v>0</v>
      </c>
      <c r="G32" s="96" t="s">
        <v>13</v>
      </c>
      <c r="H32" s="98"/>
      <c r="I32" s="98"/>
      <c r="J32" s="100"/>
      <c r="K32" s="101"/>
      <c r="L32" s="102"/>
      <c r="M32" s="258"/>
      <c r="N32" s="7"/>
      <c r="O32" s="7"/>
      <c r="W32"/>
    </row>
    <row r="33" spans="1:23" ht="19.5" customHeight="1" thickBot="1" x14ac:dyDescent="0.25">
      <c r="A33" s="105">
        <v>2025</v>
      </c>
      <c r="B33" s="106">
        <f>B3</f>
        <v>1</v>
      </c>
      <c r="C33" s="107">
        <v>610</v>
      </c>
      <c r="D33" s="108"/>
      <c r="E33" s="109"/>
      <c r="F33" s="110">
        <v>0</v>
      </c>
      <c r="G33" s="107" t="s">
        <v>13</v>
      </c>
      <c r="H33" s="111"/>
      <c r="I33" s="111"/>
      <c r="J33" s="112"/>
      <c r="K33" s="113"/>
      <c r="L33" s="114"/>
      <c r="M33" s="258"/>
      <c r="N33" s="7"/>
      <c r="O33" s="7"/>
      <c r="W33"/>
    </row>
    <row r="34" spans="1:23" ht="19.5" customHeight="1" thickBot="1" x14ac:dyDescent="0.25">
      <c r="A34" s="115">
        <v>2025</v>
      </c>
      <c r="B34" s="116">
        <f>B3</f>
        <v>1</v>
      </c>
      <c r="C34" s="117">
        <v>508</v>
      </c>
      <c r="D34" s="118">
        <v>45734</v>
      </c>
      <c r="E34" s="119">
        <v>56</v>
      </c>
      <c r="F34" s="120">
        <v>1</v>
      </c>
      <c r="G34" s="121" t="s">
        <v>21</v>
      </c>
      <c r="H34" s="121">
        <v>1</v>
      </c>
      <c r="I34" s="121" t="s">
        <v>23</v>
      </c>
      <c r="J34" s="122">
        <v>6</v>
      </c>
      <c r="K34" s="123">
        <v>6</v>
      </c>
      <c r="L34" s="124">
        <v>6</v>
      </c>
      <c r="M34" s="256" t="s">
        <v>6</v>
      </c>
      <c r="N34" s="7"/>
      <c r="O34" s="7"/>
      <c r="W34"/>
    </row>
    <row r="35" spans="1:23" ht="19.5" customHeight="1" thickBot="1" x14ac:dyDescent="0.25">
      <c r="A35" s="116">
        <v>2025</v>
      </c>
      <c r="B35" s="116">
        <f>B3</f>
        <v>1</v>
      </c>
      <c r="C35" s="125">
        <v>513</v>
      </c>
      <c r="D35" s="126"/>
      <c r="E35" s="127"/>
      <c r="F35" s="128">
        <v>0</v>
      </c>
      <c r="G35" s="129" t="s">
        <v>13</v>
      </c>
      <c r="H35" s="129"/>
      <c r="I35" s="129"/>
      <c r="J35" s="130"/>
      <c r="K35" s="131"/>
      <c r="L35" s="132"/>
      <c r="M35" s="256"/>
      <c r="N35" s="7"/>
      <c r="O35" s="7"/>
      <c r="W35"/>
    </row>
    <row r="36" spans="1:23" ht="19.5" customHeight="1" thickBot="1" x14ac:dyDescent="0.25">
      <c r="A36" s="116">
        <v>2025</v>
      </c>
      <c r="B36" s="116">
        <f>B3</f>
        <v>1</v>
      </c>
      <c r="C36" s="125">
        <v>520</v>
      </c>
      <c r="D36" s="126"/>
      <c r="E36" s="127"/>
      <c r="F36" s="128">
        <v>0</v>
      </c>
      <c r="G36" s="129" t="s">
        <v>13</v>
      </c>
      <c r="H36" s="129"/>
      <c r="I36" s="129"/>
      <c r="J36" s="130"/>
      <c r="K36" s="131"/>
      <c r="L36" s="132"/>
      <c r="M36" s="256"/>
      <c r="N36" s="7"/>
      <c r="O36" s="7"/>
      <c r="W36"/>
    </row>
    <row r="37" spans="1:23" ht="19.5" customHeight="1" thickBot="1" x14ac:dyDescent="0.25">
      <c r="A37" s="116">
        <v>2025</v>
      </c>
      <c r="B37" s="116">
        <f>B3</f>
        <v>1</v>
      </c>
      <c r="C37" s="125">
        <v>801</v>
      </c>
      <c r="D37" s="126">
        <v>45735</v>
      </c>
      <c r="E37" s="127">
        <v>64</v>
      </c>
      <c r="F37" s="128">
        <v>3</v>
      </c>
      <c r="G37" s="129" t="s">
        <v>21</v>
      </c>
      <c r="H37" s="129">
        <v>3</v>
      </c>
      <c r="I37" s="129" t="s">
        <v>26</v>
      </c>
      <c r="J37" s="130">
        <v>5</v>
      </c>
      <c r="K37" s="131">
        <v>16</v>
      </c>
      <c r="L37" s="132">
        <v>9</v>
      </c>
      <c r="M37" s="256"/>
      <c r="N37" s="7"/>
      <c r="O37" s="7"/>
      <c r="W37"/>
    </row>
    <row r="38" spans="1:23" ht="19.5" customHeight="1" thickBot="1" x14ac:dyDescent="0.25">
      <c r="A38" s="116">
        <v>2025</v>
      </c>
      <c r="B38" s="133">
        <f>B3</f>
        <v>1</v>
      </c>
      <c r="C38" s="134">
        <v>804</v>
      </c>
      <c r="D38" s="135">
        <v>45734</v>
      </c>
      <c r="E38" s="136">
        <v>62</v>
      </c>
      <c r="F38" s="137">
        <v>3</v>
      </c>
      <c r="G38" s="138" t="s">
        <v>22</v>
      </c>
      <c r="H38" s="138"/>
      <c r="I38" s="138" t="s">
        <v>26</v>
      </c>
      <c r="J38" s="139"/>
      <c r="K38" s="140"/>
      <c r="L38" s="141"/>
      <c r="M38" s="256"/>
      <c r="N38" s="7"/>
      <c r="O38" s="7"/>
      <c r="W38"/>
    </row>
    <row r="39" spans="1:23" ht="19.5" customHeight="1" x14ac:dyDescent="0.2">
      <c r="A39" s="142">
        <v>2025</v>
      </c>
      <c r="B39" s="142">
        <f>B3</f>
        <v>1</v>
      </c>
      <c r="C39" s="143">
        <v>703</v>
      </c>
      <c r="D39" s="144">
        <v>45735</v>
      </c>
      <c r="E39" s="145">
        <v>72</v>
      </c>
      <c r="F39" s="146">
        <v>3</v>
      </c>
      <c r="G39" s="147" t="s">
        <v>22</v>
      </c>
      <c r="H39" s="148"/>
      <c r="I39" s="148" t="s">
        <v>26</v>
      </c>
      <c r="J39" s="149"/>
      <c r="K39" s="150"/>
      <c r="L39" s="151"/>
      <c r="M39" s="260" t="s">
        <v>7</v>
      </c>
      <c r="N39" s="7"/>
      <c r="O39" s="7"/>
      <c r="W39"/>
    </row>
    <row r="40" spans="1:23" ht="19.5" customHeight="1" x14ac:dyDescent="0.2">
      <c r="A40" s="152">
        <v>2025</v>
      </c>
      <c r="B40" s="152">
        <f>B3</f>
        <v>1</v>
      </c>
      <c r="C40" s="153">
        <v>704</v>
      </c>
      <c r="D40" s="154">
        <v>45735</v>
      </c>
      <c r="E40" s="155">
        <v>55</v>
      </c>
      <c r="F40" s="147">
        <v>3</v>
      </c>
      <c r="G40" s="147" t="s">
        <v>22</v>
      </c>
      <c r="H40" s="156"/>
      <c r="I40" s="156" t="s">
        <v>26</v>
      </c>
      <c r="J40" s="157"/>
      <c r="K40" s="158"/>
      <c r="L40" s="159"/>
      <c r="M40" s="261"/>
      <c r="N40" s="7"/>
      <c r="O40" s="7"/>
      <c r="W40"/>
    </row>
    <row r="41" spans="1:23" ht="19.5" customHeight="1" x14ac:dyDescent="0.2">
      <c r="A41" s="152">
        <v>2025</v>
      </c>
      <c r="B41" s="152">
        <f>B3</f>
        <v>1</v>
      </c>
      <c r="C41" s="153">
        <v>705</v>
      </c>
      <c r="D41" s="154">
        <v>45735</v>
      </c>
      <c r="E41" s="155">
        <v>84</v>
      </c>
      <c r="F41" s="147">
        <v>3</v>
      </c>
      <c r="G41" s="147" t="s">
        <v>21</v>
      </c>
      <c r="H41" s="156">
        <v>1</v>
      </c>
      <c r="I41" s="156" t="s">
        <v>26</v>
      </c>
      <c r="J41" s="157">
        <v>7</v>
      </c>
      <c r="K41" s="158">
        <v>7</v>
      </c>
      <c r="L41" s="159">
        <v>7</v>
      </c>
      <c r="M41" s="261"/>
      <c r="N41" s="7"/>
      <c r="O41" s="7"/>
      <c r="W41"/>
    </row>
    <row r="42" spans="1:23" ht="19.5" customHeight="1" x14ac:dyDescent="0.2">
      <c r="A42" s="152">
        <v>2025</v>
      </c>
      <c r="B42" s="152">
        <f>B3</f>
        <v>1</v>
      </c>
      <c r="C42" s="153">
        <v>706</v>
      </c>
      <c r="D42" s="154">
        <v>45735</v>
      </c>
      <c r="E42" s="155">
        <v>56</v>
      </c>
      <c r="F42" s="147">
        <v>2</v>
      </c>
      <c r="G42" s="147" t="s">
        <v>22</v>
      </c>
      <c r="H42" s="156"/>
      <c r="I42" s="156" t="s">
        <v>23</v>
      </c>
      <c r="J42" s="157"/>
      <c r="K42" s="158"/>
      <c r="L42" s="159"/>
      <c r="M42" s="261"/>
      <c r="N42" s="7"/>
      <c r="O42" s="7"/>
      <c r="W42"/>
    </row>
    <row r="43" spans="1:23" ht="19.5" customHeight="1" x14ac:dyDescent="0.2">
      <c r="A43" s="152">
        <v>2025</v>
      </c>
      <c r="B43" s="152">
        <f>B3</f>
        <v>1</v>
      </c>
      <c r="C43" s="153">
        <v>707</v>
      </c>
      <c r="D43" s="154">
        <v>45735</v>
      </c>
      <c r="E43" s="155">
        <v>58</v>
      </c>
      <c r="F43" s="147">
        <v>3</v>
      </c>
      <c r="G43" s="147" t="s">
        <v>22</v>
      </c>
      <c r="H43" s="156"/>
      <c r="I43" s="156" t="s">
        <v>26</v>
      </c>
      <c r="J43" s="157"/>
      <c r="K43" s="158"/>
      <c r="L43" s="159"/>
      <c r="M43" s="261"/>
      <c r="N43" s="7"/>
      <c r="O43" s="7"/>
      <c r="W43"/>
    </row>
    <row r="44" spans="1:23" ht="19.5" customHeight="1" x14ac:dyDescent="0.2">
      <c r="A44" s="152">
        <v>2025</v>
      </c>
      <c r="B44" s="152">
        <f>B3</f>
        <v>1</v>
      </c>
      <c r="C44" s="153">
        <v>711</v>
      </c>
      <c r="D44" s="154">
        <v>45736</v>
      </c>
      <c r="E44" s="155">
        <v>56</v>
      </c>
      <c r="F44" s="147">
        <v>3</v>
      </c>
      <c r="G44" s="147" t="s">
        <v>22</v>
      </c>
      <c r="H44" s="156"/>
      <c r="I44" s="156" t="s">
        <v>26</v>
      </c>
      <c r="J44" s="157"/>
      <c r="K44" s="158"/>
      <c r="L44" s="159"/>
      <c r="M44" s="261"/>
      <c r="N44" s="7"/>
      <c r="O44" s="7"/>
      <c r="W44"/>
    </row>
    <row r="45" spans="1:23" ht="19.5" customHeight="1" x14ac:dyDescent="0.2">
      <c r="A45" s="160">
        <v>2025</v>
      </c>
      <c r="B45" s="160">
        <f>B3</f>
        <v>1</v>
      </c>
      <c r="C45" s="161">
        <v>716</v>
      </c>
      <c r="D45" s="162">
        <v>45736</v>
      </c>
      <c r="E45" s="163">
        <v>60</v>
      </c>
      <c r="F45" s="164">
        <v>2</v>
      </c>
      <c r="G45" s="165" t="s">
        <v>22</v>
      </c>
      <c r="H45" s="163"/>
      <c r="I45" s="163" t="s">
        <v>23</v>
      </c>
      <c r="J45" s="166"/>
      <c r="K45" s="167"/>
      <c r="L45" s="168"/>
      <c r="M45" s="261"/>
      <c r="N45" s="7"/>
      <c r="O45" s="7"/>
      <c r="W45"/>
    </row>
    <row r="46" spans="1:23" ht="19.5" customHeight="1" x14ac:dyDescent="0.25">
      <c r="A46" s="152">
        <v>2025</v>
      </c>
      <c r="B46" s="152">
        <f>B3</f>
        <v>1</v>
      </c>
      <c r="C46" s="153" t="s">
        <v>35</v>
      </c>
      <c r="D46" s="154">
        <v>45736</v>
      </c>
      <c r="E46" s="155">
        <v>102</v>
      </c>
      <c r="F46" s="147">
        <v>3</v>
      </c>
      <c r="G46" s="147" t="s">
        <v>22</v>
      </c>
      <c r="H46" s="155"/>
      <c r="I46" s="156" t="s">
        <v>26</v>
      </c>
      <c r="J46" s="169"/>
      <c r="K46" s="170"/>
      <c r="L46" s="171"/>
      <c r="M46" s="261"/>
      <c r="N46" s="7"/>
      <c r="O46" s="7"/>
      <c r="W46"/>
    </row>
    <row r="47" spans="1:23" ht="19.5" customHeight="1" x14ac:dyDescent="0.2">
      <c r="A47" s="152">
        <v>2025</v>
      </c>
      <c r="B47" s="152">
        <f>B3</f>
        <v>1</v>
      </c>
      <c r="C47" s="153">
        <v>719</v>
      </c>
      <c r="D47" s="154"/>
      <c r="E47" s="155"/>
      <c r="F47" s="147">
        <v>0</v>
      </c>
      <c r="G47" s="147" t="s">
        <v>13</v>
      </c>
      <c r="H47" s="156"/>
      <c r="I47" s="156"/>
      <c r="J47" s="157"/>
      <c r="K47" s="158"/>
      <c r="L47" s="159"/>
      <c r="M47" s="261"/>
      <c r="N47" s="7"/>
      <c r="O47" s="7"/>
      <c r="W47"/>
    </row>
    <row r="48" spans="1:23" ht="19.5" customHeight="1" x14ac:dyDescent="0.2">
      <c r="A48" s="152">
        <v>2025</v>
      </c>
      <c r="B48" s="152">
        <f>B3</f>
        <v>1</v>
      </c>
      <c r="C48" s="153">
        <v>720</v>
      </c>
      <c r="D48" s="154">
        <v>45736</v>
      </c>
      <c r="E48" s="155">
        <v>69</v>
      </c>
      <c r="F48" s="147">
        <v>2</v>
      </c>
      <c r="G48" s="147" t="s">
        <v>22</v>
      </c>
      <c r="H48" s="156"/>
      <c r="I48" s="156" t="s">
        <v>23</v>
      </c>
      <c r="J48" s="157"/>
      <c r="K48" s="158"/>
      <c r="L48" s="159"/>
      <c r="M48" s="261"/>
      <c r="N48" s="7"/>
      <c r="O48" s="7"/>
      <c r="W48"/>
    </row>
    <row r="49" spans="1:23" ht="19.5" customHeight="1" x14ac:dyDescent="0.2">
      <c r="A49" s="152">
        <v>2025</v>
      </c>
      <c r="B49" s="152">
        <f>B3</f>
        <v>1</v>
      </c>
      <c r="C49" s="153">
        <v>723</v>
      </c>
      <c r="D49" s="154">
        <v>45736</v>
      </c>
      <c r="E49" s="155">
        <v>44</v>
      </c>
      <c r="F49" s="147">
        <v>2</v>
      </c>
      <c r="G49" s="147" t="s">
        <v>22</v>
      </c>
      <c r="H49" s="155"/>
      <c r="I49" s="156" t="s">
        <v>23</v>
      </c>
      <c r="J49" s="169"/>
      <c r="K49" s="170"/>
      <c r="L49" s="171"/>
      <c r="M49" s="261"/>
      <c r="N49" s="7"/>
      <c r="O49" s="7"/>
      <c r="W49"/>
    </row>
    <row r="50" spans="1:23" ht="19.5" customHeight="1" x14ac:dyDescent="0.2">
      <c r="A50" s="152">
        <v>2025</v>
      </c>
      <c r="B50" s="152">
        <f>B3</f>
        <v>1</v>
      </c>
      <c r="C50" s="153">
        <v>724</v>
      </c>
      <c r="D50" s="154">
        <v>45736</v>
      </c>
      <c r="E50" s="155">
        <v>41</v>
      </c>
      <c r="F50" s="147">
        <v>1</v>
      </c>
      <c r="G50" s="147" t="s">
        <v>22</v>
      </c>
      <c r="H50" s="156"/>
      <c r="I50" s="156" t="s">
        <v>23</v>
      </c>
      <c r="J50" s="157"/>
      <c r="K50" s="158"/>
      <c r="L50" s="159"/>
      <c r="M50" s="261"/>
      <c r="N50" s="7"/>
      <c r="O50" s="7"/>
      <c r="W50"/>
    </row>
    <row r="51" spans="1:23" ht="19.5" customHeight="1" thickBot="1" x14ac:dyDescent="0.25">
      <c r="A51" s="172">
        <v>2025</v>
      </c>
      <c r="B51" s="172">
        <f>B3</f>
        <v>1</v>
      </c>
      <c r="C51" s="173">
        <v>726</v>
      </c>
      <c r="D51" s="174">
        <v>45736</v>
      </c>
      <c r="E51" s="175">
        <v>34</v>
      </c>
      <c r="F51" s="176">
        <v>1</v>
      </c>
      <c r="G51" s="147" t="s">
        <v>22</v>
      </c>
      <c r="H51" s="177"/>
      <c r="I51" s="177" t="s">
        <v>23</v>
      </c>
      <c r="J51" s="178"/>
      <c r="K51" s="179"/>
      <c r="L51" s="180"/>
      <c r="M51" s="262"/>
      <c r="N51" s="7"/>
      <c r="O51" s="7"/>
      <c r="W51"/>
    </row>
    <row r="52" spans="1:23" ht="19.5" customHeight="1" thickBot="1" x14ac:dyDescent="0.25">
      <c r="A52" s="181">
        <v>2025</v>
      </c>
      <c r="B52" s="181">
        <f>B3</f>
        <v>1</v>
      </c>
      <c r="C52" s="182">
        <v>809</v>
      </c>
      <c r="D52" s="183">
        <v>45733</v>
      </c>
      <c r="E52" s="184">
        <v>68</v>
      </c>
      <c r="F52" s="181">
        <v>3</v>
      </c>
      <c r="G52" s="182" t="s">
        <v>21</v>
      </c>
      <c r="H52" s="185">
        <v>2</v>
      </c>
      <c r="I52" s="185" t="s">
        <v>26</v>
      </c>
      <c r="J52" s="186">
        <v>7</v>
      </c>
      <c r="K52" s="187">
        <v>7</v>
      </c>
      <c r="L52" s="188">
        <v>7</v>
      </c>
      <c r="M52" s="257" t="s">
        <v>8</v>
      </c>
      <c r="N52" s="7"/>
      <c r="O52" s="7"/>
      <c r="W52"/>
    </row>
    <row r="53" spans="1:23" ht="19.5" customHeight="1" thickBot="1" x14ac:dyDescent="0.25">
      <c r="A53" s="189">
        <v>2025</v>
      </c>
      <c r="B53" s="189">
        <f>B3</f>
        <v>1</v>
      </c>
      <c r="C53" s="190">
        <v>812</v>
      </c>
      <c r="D53" s="191">
        <v>45733</v>
      </c>
      <c r="E53" s="192">
        <v>77</v>
      </c>
      <c r="F53" s="189">
        <v>3</v>
      </c>
      <c r="G53" s="190" t="s">
        <v>22</v>
      </c>
      <c r="H53" s="193"/>
      <c r="I53" s="193" t="s">
        <v>26</v>
      </c>
      <c r="J53" s="194"/>
      <c r="K53" s="195"/>
      <c r="L53" s="196"/>
      <c r="M53" s="257"/>
      <c r="N53" s="7"/>
      <c r="O53" s="7"/>
      <c r="W53"/>
    </row>
    <row r="54" spans="1:23" ht="19.5" customHeight="1" thickBot="1" x14ac:dyDescent="0.25">
      <c r="A54" s="197">
        <v>2025</v>
      </c>
      <c r="B54" s="197">
        <f>B3</f>
        <v>1</v>
      </c>
      <c r="C54" s="198">
        <v>815</v>
      </c>
      <c r="D54" s="199">
        <v>45734</v>
      </c>
      <c r="E54" s="200">
        <v>98</v>
      </c>
      <c r="F54" s="197">
        <v>3</v>
      </c>
      <c r="G54" s="201" t="s">
        <v>21</v>
      </c>
      <c r="H54" s="202">
        <v>1</v>
      </c>
      <c r="I54" s="202" t="s">
        <v>26</v>
      </c>
      <c r="J54" s="203">
        <v>10</v>
      </c>
      <c r="K54" s="204">
        <v>10</v>
      </c>
      <c r="L54" s="205">
        <v>10</v>
      </c>
      <c r="M54" s="257"/>
      <c r="N54" s="7"/>
      <c r="O54" s="7"/>
      <c r="W54"/>
    </row>
    <row r="55" spans="1:23" ht="19.5" customHeight="1" thickBot="1" x14ac:dyDescent="0.3">
      <c r="A55" s="197">
        <v>2025</v>
      </c>
      <c r="B55" s="197">
        <f>B3</f>
        <v>1</v>
      </c>
      <c r="C55" s="198" t="s">
        <v>30</v>
      </c>
      <c r="D55" s="206">
        <v>45734</v>
      </c>
      <c r="E55" s="200">
        <v>84</v>
      </c>
      <c r="F55" s="197">
        <v>3</v>
      </c>
      <c r="G55" s="201" t="s">
        <v>22</v>
      </c>
      <c r="H55" s="202"/>
      <c r="I55" s="202" t="s">
        <v>26</v>
      </c>
      <c r="J55" s="203"/>
      <c r="K55" s="204"/>
      <c r="L55" s="205"/>
      <c r="M55" s="257"/>
      <c r="N55" s="7"/>
      <c r="O55" s="7"/>
      <c r="W55"/>
    </row>
    <row r="56" spans="1:23" ht="19.5" customHeight="1" thickBot="1" x14ac:dyDescent="0.25">
      <c r="A56" s="197">
        <v>2025</v>
      </c>
      <c r="B56" s="197">
        <f>B3</f>
        <v>1</v>
      </c>
      <c r="C56" s="198">
        <v>902</v>
      </c>
      <c r="D56" s="206">
        <v>45733</v>
      </c>
      <c r="E56" s="200">
        <v>84</v>
      </c>
      <c r="F56" s="197">
        <v>3</v>
      </c>
      <c r="G56" s="201" t="s">
        <v>21</v>
      </c>
      <c r="H56" s="202">
        <v>1</v>
      </c>
      <c r="I56" s="202" t="s">
        <v>26</v>
      </c>
      <c r="J56" s="203">
        <v>7</v>
      </c>
      <c r="K56" s="204">
        <v>7</v>
      </c>
      <c r="L56" s="205">
        <v>7</v>
      </c>
      <c r="M56" s="257"/>
      <c r="N56" s="7"/>
      <c r="O56" s="7"/>
      <c r="W56"/>
    </row>
    <row r="57" spans="1:23" ht="19.5" customHeight="1" thickBot="1" x14ac:dyDescent="0.3">
      <c r="A57" s="197">
        <v>2025</v>
      </c>
      <c r="B57" s="197">
        <f>B3</f>
        <v>1</v>
      </c>
      <c r="C57" s="198" t="s">
        <v>33</v>
      </c>
      <c r="D57" s="206">
        <v>45734</v>
      </c>
      <c r="E57" s="200">
        <v>149</v>
      </c>
      <c r="F57" s="197">
        <v>3</v>
      </c>
      <c r="G57" s="201" t="s">
        <v>21</v>
      </c>
      <c r="H57" s="202">
        <v>1</v>
      </c>
      <c r="I57" s="202" t="s">
        <v>26</v>
      </c>
      <c r="J57" s="203">
        <v>6</v>
      </c>
      <c r="K57" s="204">
        <v>6</v>
      </c>
      <c r="L57" s="205">
        <v>6</v>
      </c>
      <c r="M57" s="257"/>
      <c r="N57" s="7"/>
      <c r="O57" s="7"/>
      <c r="W57"/>
    </row>
    <row r="58" spans="1:23" ht="19.5" customHeight="1" thickBot="1" x14ac:dyDescent="0.25">
      <c r="A58" s="197">
        <v>2025</v>
      </c>
      <c r="B58" s="197">
        <f>B3</f>
        <v>1</v>
      </c>
      <c r="C58" s="198">
        <v>910</v>
      </c>
      <c r="D58" s="206">
        <v>45733</v>
      </c>
      <c r="E58" s="200">
        <v>114</v>
      </c>
      <c r="F58" s="197">
        <v>3</v>
      </c>
      <c r="G58" s="201" t="s">
        <v>22</v>
      </c>
      <c r="H58" s="202"/>
      <c r="I58" s="202" t="s">
        <v>26</v>
      </c>
      <c r="J58" s="203"/>
      <c r="K58" s="204"/>
      <c r="L58" s="205"/>
      <c r="M58" s="257"/>
      <c r="N58" s="7"/>
      <c r="O58" s="7"/>
      <c r="W58"/>
    </row>
    <row r="59" spans="1:23" ht="19.5" customHeight="1" thickBot="1" x14ac:dyDescent="0.25">
      <c r="A59" s="197">
        <v>2025</v>
      </c>
      <c r="B59" s="197">
        <f>B3</f>
        <v>1</v>
      </c>
      <c r="C59" s="198">
        <v>912</v>
      </c>
      <c r="D59" s="206">
        <v>45733</v>
      </c>
      <c r="E59" s="200">
        <v>101</v>
      </c>
      <c r="F59" s="197">
        <v>3</v>
      </c>
      <c r="G59" s="201" t="s">
        <v>22</v>
      </c>
      <c r="H59" s="202"/>
      <c r="I59" s="202" t="s">
        <v>26</v>
      </c>
      <c r="J59" s="203"/>
      <c r="K59" s="204"/>
      <c r="L59" s="205"/>
      <c r="M59" s="257"/>
      <c r="N59" s="7"/>
      <c r="O59" s="7"/>
      <c r="W59"/>
    </row>
    <row r="60" spans="1:23" ht="19.5" customHeight="1" thickBot="1" x14ac:dyDescent="0.25">
      <c r="A60" s="197">
        <v>2025</v>
      </c>
      <c r="B60" s="197">
        <f>B3</f>
        <v>1</v>
      </c>
      <c r="C60" s="198">
        <v>914</v>
      </c>
      <c r="D60" s="206">
        <v>45733</v>
      </c>
      <c r="E60" s="200">
        <v>145</v>
      </c>
      <c r="F60" s="197">
        <v>3</v>
      </c>
      <c r="G60" s="201" t="s">
        <v>22</v>
      </c>
      <c r="H60" s="202"/>
      <c r="I60" s="202" t="s">
        <v>26</v>
      </c>
      <c r="J60" s="203"/>
      <c r="K60" s="204"/>
      <c r="L60" s="205"/>
      <c r="M60" s="257"/>
      <c r="N60" s="7"/>
      <c r="O60" s="7"/>
      <c r="W60"/>
    </row>
    <row r="61" spans="1:23" ht="19.5" customHeight="1" thickBot="1" x14ac:dyDescent="0.25">
      <c r="A61" s="197">
        <v>2025</v>
      </c>
      <c r="B61" s="197">
        <f>B3</f>
        <v>1</v>
      </c>
      <c r="C61" s="198">
        <v>915</v>
      </c>
      <c r="D61" s="206">
        <v>45733</v>
      </c>
      <c r="E61" s="200">
        <v>115</v>
      </c>
      <c r="F61" s="197">
        <v>3</v>
      </c>
      <c r="G61" s="201" t="s">
        <v>22</v>
      </c>
      <c r="H61" s="202"/>
      <c r="I61" s="202" t="s">
        <v>26</v>
      </c>
      <c r="J61" s="203"/>
      <c r="K61" s="204"/>
      <c r="L61" s="205"/>
      <c r="M61" s="257"/>
      <c r="N61" s="7"/>
      <c r="O61" s="7"/>
      <c r="W61"/>
    </row>
    <row r="62" spans="1:23" ht="19.5" customHeight="1" thickBot="1" x14ac:dyDescent="0.25">
      <c r="A62" s="197">
        <v>2025</v>
      </c>
      <c r="B62" s="197">
        <f>B3</f>
        <v>1</v>
      </c>
      <c r="C62" s="198">
        <v>918</v>
      </c>
      <c r="D62" s="206">
        <v>45733</v>
      </c>
      <c r="E62" s="200">
        <v>96</v>
      </c>
      <c r="F62" s="197">
        <v>3</v>
      </c>
      <c r="G62" s="201" t="s">
        <v>22</v>
      </c>
      <c r="H62" s="202"/>
      <c r="I62" s="202" t="s">
        <v>26</v>
      </c>
      <c r="J62" s="203"/>
      <c r="K62" s="204"/>
      <c r="L62" s="205"/>
      <c r="M62" s="257"/>
      <c r="N62" s="7"/>
      <c r="O62" s="7"/>
      <c r="W62"/>
    </row>
    <row r="63" spans="1:23" ht="19.5" customHeight="1" thickBot="1" x14ac:dyDescent="0.25">
      <c r="A63" s="207">
        <v>2025</v>
      </c>
      <c r="B63" s="207">
        <f>B3</f>
        <v>1</v>
      </c>
      <c r="C63" s="208">
        <v>919</v>
      </c>
      <c r="D63" s="209">
        <v>45734</v>
      </c>
      <c r="E63" s="210">
        <v>144</v>
      </c>
      <c r="F63" s="207">
        <v>3</v>
      </c>
      <c r="G63" s="201" t="s">
        <v>22</v>
      </c>
      <c r="H63" s="211"/>
      <c r="I63" s="211" t="s">
        <v>26</v>
      </c>
      <c r="J63" s="212"/>
      <c r="K63" s="213"/>
      <c r="L63" s="214"/>
      <c r="M63" s="257"/>
    </row>
    <row r="64" spans="1:23" ht="19.5" customHeight="1" x14ac:dyDescent="0.25">
      <c r="A64" s="8" t="s">
        <v>36</v>
      </c>
      <c r="B64" s="9"/>
      <c r="C64" s="9"/>
      <c r="D64" s="9"/>
      <c r="E64" s="9"/>
      <c r="F64" s="9"/>
      <c r="G64" s="215"/>
      <c r="H64" s="9"/>
      <c r="I64" s="9"/>
      <c r="J64" s="9"/>
      <c r="K64" s="9"/>
      <c r="L64" s="243"/>
      <c r="M64" s="10"/>
    </row>
    <row r="65" spans="1:13" ht="19.5" customHeight="1" x14ac:dyDescent="0.25">
      <c r="A65" s="8" t="s">
        <v>37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244"/>
      <c r="M65" s="218"/>
    </row>
    <row r="66" spans="1:13" ht="19.5" customHeight="1" x14ac:dyDescent="0.25">
      <c r="A66" s="8" t="s">
        <v>38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244"/>
      <c r="M66" s="10"/>
    </row>
    <row r="67" spans="1:13" ht="15" customHeight="1" x14ac:dyDescent="0.2">
      <c r="A67" s="219" t="s">
        <v>50</v>
      </c>
      <c r="B67" s="220"/>
      <c r="C67" s="220"/>
      <c r="D67" s="221"/>
      <c r="E67" s="221"/>
      <c r="F67" s="221"/>
      <c r="G67" s="220"/>
      <c r="H67" s="220"/>
      <c r="I67" s="220"/>
      <c r="J67" s="220"/>
      <c r="K67" s="220"/>
      <c r="L67" s="245"/>
      <c r="M67" s="222"/>
    </row>
    <row r="68" spans="1:13" ht="15" customHeight="1" x14ac:dyDescent="0.2">
      <c r="H68" s="5"/>
      <c r="M68" s="6"/>
    </row>
    <row r="69" spans="1:13" ht="15" customHeight="1" x14ac:dyDescent="0.2">
      <c r="H69" s="5"/>
      <c r="M69" s="4"/>
    </row>
    <row r="70" spans="1:13" ht="15" customHeight="1" x14ac:dyDescent="0.2">
      <c r="H70" s="5"/>
    </row>
    <row r="71" spans="1:13" ht="15" customHeight="1" x14ac:dyDescent="0.2"/>
    <row r="72" spans="1:13" ht="15" customHeight="1" x14ac:dyDescent="0.2"/>
    <row r="73" spans="1:13" ht="15" customHeight="1" x14ac:dyDescent="0.2"/>
    <row r="74" spans="1:13" ht="15" customHeight="1" x14ac:dyDescent="0.2"/>
    <row r="75" spans="1:13" ht="15" customHeight="1" x14ac:dyDescent="0.2"/>
  </sheetData>
  <mergeCells count="8">
    <mergeCell ref="A1:P1"/>
    <mergeCell ref="M3:M15"/>
    <mergeCell ref="M16:M21"/>
    <mergeCell ref="M34:M38"/>
    <mergeCell ref="M52:M63"/>
    <mergeCell ref="M25:M33"/>
    <mergeCell ref="M22:M24"/>
    <mergeCell ref="M39:M51"/>
  </mergeCells>
  <dataValidations count="2">
    <dataValidation type="list" allowBlank="1" showInputMessage="1" showErrorMessage="1" sqref="I3:I63" xr:uid="{10D45BF0-B8AB-4E65-8CE4-D0857D1D3EF7}">
      <formula1>"Preliminary, Complete"</formula1>
    </dataValidation>
    <dataValidation type="list" allowBlank="1" showInputMessage="1" showErrorMessage="1" sqref="G3:G63" xr:uid="{31D3BBC7-A40A-4544-AF91-C7A1F1003CE1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D4FD-1144-4775-8930-EA6C1CD9FED2}">
  <dimension ref="A1:W75"/>
  <sheetViews>
    <sheetView topLeftCell="A48" workbookViewId="0">
      <selection activeCell="A3" sqref="A3:M67"/>
    </sheetView>
  </sheetViews>
  <sheetFormatPr defaultColWidth="9.140625" defaultRowHeight="12.75" x14ac:dyDescent="0.2"/>
  <cols>
    <col min="1" max="1" width="5.85546875" style="1" customWidth="1"/>
    <col min="2" max="3" width="8.28515625" style="1" customWidth="1"/>
    <col min="4" max="4" width="8.5703125" style="1" customWidth="1"/>
    <col min="5" max="5" width="8" style="1" customWidth="1"/>
    <col min="6" max="6" width="12" style="1" customWidth="1"/>
    <col min="7" max="7" width="16.42578125" style="2" customWidth="1"/>
    <col min="8" max="8" width="7" style="1" customWidth="1"/>
    <col min="9" max="9" width="12" style="1" customWidth="1"/>
    <col min="10" max="10" width="8.140625" style="1" customWidth="1"/>
    <col min="11" max="11" width="8" style="1" customWidth="1"/>
    <col min="12" max="12" width="8.140625" style="3" customWidth="1"/>
    <col min="13" max="13" width="7.7109375" style="1" customWidth="1"/>
    <col min="14" max="14" width="9.140625" style="1"/>
    <col min="15" max="15" width="13.42578125" style="1" customWidth="1"/>
    <col min="16" max="17" width="13.28515625" style="1" customWidth="1"/>
    <col min="18" max="18" width="16.42578125" style="1" customWidth="1"/>
    <col min="19" max="19" width="18.85546875" style="1" customWidth="1"/>
    <col min="20" max="16384" width="9.140625" style="1"/>
  </cols>
  <sheetData>
    <row r="1" spans="1:17" ht="63" customHeight="1" thickBot="1" x14ac:dyDescent="0.25">
      <c r="A1" s="252" t="s">
        <v>25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7" ht="35.25" customHeight="1" thickBo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15</v>
      </c>
      <c r="F2" s="11" t="s">
        <v>4</v>
      </c>
      <c r="G2" s="11" t="s">
        <v>12</v>
      </c>
      <c r="H2" s="11" t="s">
        <v>5</v>
      </c>
      <c r="I2" s="11" t="s">
        <v>14</v>
      </c>
      <c r="J2" s="12" t="s">
        <v>9</v>
      </c>
      <c r="K2" s="13" t="s">
        <v>10</v>
      </c>
      <c r="L2" s="14" t="s">
        <v>11</v>
      </c>
      <c r="M2" s="15"/>
    </row>
    <row r="3" spans="1:17" ht="19.5" customHeight="1" thickBot="1" x14ac:dyDescent="0.25">
      <c r="A3" s="16">
        <v>2025</v>
      </c>
      <c r="B3" s="16">
        <v>2</v>
      </c>
      <c r="C3" s="16">
        <v>306</v>
      </c>
      <c r="D3" s="17"/>
      <c r="E3" s="18"/>
      <c r="F3" s="16">
        <v>0</v>
      </c>
      <c r="G3" s="16" t="s">
        <v>13</v>
      </c>
      <c r="H3" s="19"/>
      <c r="I3" s="18"/>
      <c r="J3" s="20"/>
      <c r="K3" s="21"/>
      <c r="L3" s="246"/>
      <c r="M3" s="254" t="s">
        <v>18</v>
      </c>
      <c r="Q3"/>
    </row>
    <row r="4" spans="1:17" ht="19.5" customHeight="1" thickBot="1" x14ac:dyDescent="0.25">
      <c r="A4" s="23">
        <v>2025</v>
      </c>
      <c r="B4" s="24">
        <f t="shared" ref="B4:B15" si="0">B3</f>
        <v>2</v>
      </c>
      <c r="C4" s="23">
        <v>308</v>
      </c>
      <c r="D4" s="25"/>
      <c r="E4" s="26"/>
      <c r="F4" s="23">
        <v>0</v>
      </c>
      <c r="G4" s="27" t="s">
        <v>13</v>
      </c>
      <c r="H4" s="28"/>
      <c r="I4" s="26"/>
      <c r="J4" s="29"/>
      <c r="K4" s="30"/>
      <c r="L4" s="241"/>
      <c r="M4" s="254"/>
      <c r="Q4"/>
    </row>
    <row r="5" spans="1:17" ht="19.5" customHeight="1" thickBot="1" x14ac:dyDescent="0.25">
      <c r="A5" s="23">
        <v>2025</v>
      </c>
      <c r="B5" s="24">
        <f t="shared" si="0"/>
        <v>2</v>
      </c>
      <c r="C5" s="23">
        <v>311</v>
      </c>
      <c r="D5" s="25"/>
      <c r="E5" s="26"/>
      <c r="F5" s="23">
        <v>0</v>
      </c>
      <c r="G5" s="27" t="s">
        <v>13</v>
      </c>
      <c r="H5" s="28"/>
      <c r="I5" s="26"/>
      <c r="J5" s="29"/>
      <c r="K5" s="30"/>
      <c r="L5" s="241"/>
      <c r="M5" s="254"/>
      <c r="Q5"/>
    </row>
    <row r="6" spans="1:17" ht="19.5" customHeight="1" thickBot="1" x14ac:dyDescent="0.25">
      <c r="A6" s="23">
        <v>2025</v>
      </c>
      <c r="B6" s="24">
        <f t="shared" si="0"/>
        <v>2</v>
      </c>
      <c r="C6" s="23">
        <v>315</v>
      </c>
      <c r="D6" s="25"/>
      <c r="E6" s="26"/>
      <c r="F6" s="23">
        <v>0</v>
      </c>
      <c r="G6" s="27" t="s">
        <v>13</v>
      </c>
      <c r="H6" s="28"/>
      <c r="I6" s="26"/>
      <c r="J6" s="29"/>
      <c r="K6" s="30"/>
      <c r="L6" s="241"/>
      <c r="M6" s="254"/>
      <c r="Q6"/>
    </row>
    <row r="7" spans="1:17" ht="19.5" customHeight="1" thickBot="1" x14ac:dyDescent="0.25">
      <c r="A7" s="23">
        <v>2025</v>
      </c>
      <c r="B7" s="24">
        <f t="shared" si="0"/>
        <v>2</v>
      </c>
      <c r="C7" s="23">
        <v>322</v>
      </c>
      <c r="D7" s="25"/>
      <c r="E7" s="26"/>
      <c r="F7" s="23">
        <v>0</v>
      </c>
      <c r="G7" s="27" t="s">
        <v>13</v>
      </c>
      <c r="H7" s="28"/>
      <c r="I7" s="26"/>
      <c r="J7" s="29"/>
      <c r="K7" s="30"/>
      <c r="L7" s="241"/>
      <c r="M7" s="254"/>
      <c r="Q7"/>
    </row>
    <row r="8" spans="1:17" ht="19.5" customHeight="1" thickBot="1" x14ac:dyDescent="0.25">
      <c r="A8" s="23">
        <v>2025</v>
      </c>
      <c r="B8" s="24">
        <f t="shared" si="0"/>
        <v>2</v>
      </c>
      <c r="C8" s="23">
        <v>323</v>
      </c>
      <c r="D8" s="25"/>
      <c r="E8" s="26"/>
      <c r="F8" s="23">
        <v>0</v>
      </c>
      <c r="G8" s="27" t="s">
        <v>13</v>
      </c>
      <c r="H8" s="28"/>
      <c r="I8" s="26"/>
      <c r="J8" s="29"/>
      <c r="K8" s="30"/>
      <c r="L8" s="241"/>
      <c r="M8" s="254"/>
      <c r="Q8"/>
    </row>
    <row r="9" spans="1:17" ht="19.5" customHeight="1" thickBot="1" x14ac:dyDescent="0.25">
      <c r="A9" s="23">
        <v>2025</v>
      </c>
      <c r="B9" s="24">
        <f t="shared" si="0"/>
        <v>2</v>
      </c>
      <c r="C9" s="23">
        <v>327</v>
      </c>
      <c r="D9" s="25"/>
      <c r="E9" s="26"/>
      <c r="F9" s="23">
        <v>0</v>
      </c>
      <c r="G9" s="27" t="s">
        <v>13</v>
      </c>
      <c r="H9" s="28"/>
      <c r="I9" s="26"/>
      <c r="J9" s="29"/>
      <c r="K9" s="30"/>
      <c r="L9" s="241"/>
      <c r="M9" s="254"/>
      <c r="Q9"/>
    </row>
    <row r="10" spans="1:17" ht="19.5" customHeight="1" thickBot="1" x14ac:dyDescent="0.25">
      <c r="A10" s="23">
        <v>2025</v>
      </c>
      <c r="B10" s="24">
        <f t="shared" si="0"/>
        <v>2</v>
      </c>
      <c r="C10" s="23">
        <v>328</v>
      </c>
      <c r="D10" s="25"/>
      <c r="E10" s="26"/>
      <c r="F10" s="23">
        <v>0</v>
      </c>
      <c r="G10" s="27" t="s">
        <v>13</v>
      </c>
      <c r="H10" s="28"/>
      <c r="I10" s="26"/>
      <c r="J10" s="29"/>
      <c r="K10" s="30"/>
      <c r="L10" s="241"/>
      <c r="M10" s="254"/>
      <c r="Q10"/>
    </row>
    <row r="11" spans="1:17" ht="19.5" customHeight="1" thickBot="1" x14ac:dyDescent="0.3">
      <c r="A11" s="23">
        <v>2025</v>
      </c>
      <c r="B11" s="24">
        <f t="shared" si="0"/>
        <v>2</v>
      </c>
      <c r="C11" s="23" t="s">
        <v>51</v>
      </c>
      <c r="D11" s="25">
        <v>45750</v>
      </c>
      <c r="E11" s="26">
        <v>12</v>
      </c>
      <c r="F11" s="23">
        <v>2</v>
      </c>
      <c r="G11" s="27" t="s">
        <v>21</v>
      </c>
      <c r="H11" s="28">
        <v>17</v>
      </c>
      <c r="I11" s="26" t="s">
        <v>23</v>
      </c>
      <c r="J11" s="29">
        <v>7</v>
      </c>
      <c r="K11" s="30">
        <v>29</v>
      </c>
      <c r="L11" s="241">
        <v>16.176470588235301</v>
      </c>
      <c r="M11" s="254"/>
      <c r="Q11"/>
    </row>
    <row r="12" spans="1:17" ht="19.5" customHeight="1" thickBot="1" x14ac:dyDescent="0.25">
      <c r="A12" s="23">
        <v>2025</v>
      </c>
      <c r="B12" s="24">
        <f t="shared" si="0"/>
        <v>2</v>
      </c>
      <c r="C12" s="23">
        <v>330</v>
      </c>
      <c r="D12" s="25"/>
      <c r="E12" s="26"/>
      <c r="F12" s="23">
        <v>0</v>
      </c>
      <c r="G12" s="27" t="s">
        <v>13</v>
      </c>
      <c r="H12" s="28"/>
      <c r="I12" s="26"/>
      <c r="J12" s="29"/>
      <c r="K12" s="30"/>
      <c r="L12" s="241"/>
      <c r="M12" s="254"/>
      <c r="Q12"/>
    </row>
    <row r="13" spans="1:17" ht="19.5" customHeight="1" thickBot="1" x14ac:dyDescent="0.25">
      <c r="A13" s="23">
        <v>2025</v>
      </c>
      <c r="B13" s="24">
        <f t="shared" si="0"/>
        <v>2</v>
      </c>
      <c r="C13" s="23">
        <v>335</v>
      </c>
      <c r="D13" s="25"/>
      <c r="E13" s="26"/>
      <c r="F13" s="23">
        <v>0</v>
      </c>
      <c r="G13" s="27" t="s">
        <v>13</v>
      </c>
      <c r="H13" s="28"/>
      <c r="I13" s="26"/>
      <c r="J13" s="29"/>
      <c r="K13" s="30"/>
      <c r="L13" s="241"/>
      <c r="M13" s="254"/>
      <c r="Q13"/>
    </row>
    <row r="14" spans="1:17" ht="19.5" customHeight="1" thickBot="1" x14ac:dyDescent="0.25">
      <c r="A14" s="23">
        <v>2025</v>
      </c>
      <c r="B14" s="24">
        <f t="shared" si="0"/>
        <v>2</v>
      </c>
      <c r="C14" s="23">
        <v>336</v>
      </c>
      <c r="D14" s="25">
        <v>45750</v>
      </c>
      <c r="E14" s="26">
        <v>15</v>
      </c>
      <c r="F14" s="23">
        <v>1</v>
      </c>
      <c r="G14" s="27" t="s">
        <v>21</v>
      </c>
      <c r="H14" s="28">
        <v>7</v>
      </c>
      <c r="I14" s="26" t="s">
        <v>23</v>
      </c>
      <c r="J14" s="29">
        <v>14</v>
      </c>
      <c r="K14" s="30">
        <v>22</v>
      </c>
      <c r="L14" s="241">
        <v>17</v>
      </c>
      <c r="M14" s="254"/>
      <c r="Q14"/>
    </row>
    <row r="15" spans="1:17" ht="19.5" customHeight="1" thickBot="1" x14ac:dyDescent="0.25">
      <c r="A15" s="32">
        <v>2025</v>
      </c>
      <c r="B15" s="24">
        <f t="shared" si="0"/>
        <v>2</v>
      </c>
      <c r="C15" s="32">
        <v>338</v>
      </c>
      <c r="D15" s="33"/>
      <c r="E15" s="34"/>
      <c r="F15" s="32">
        <v>0</v>
      </c>
      <c r="G15" s="27" t="s">
        <v>13</v>
      </c>
      <c r="H15" s="35"/>
      <c r="I15" s="34"/>
      <c r="J15" s="36"/>
      <c r="K15" s="37"/>
      <c r="L15" s="242"/>
      <c r="M15" s="254"/>
      <c r="Q15"/>
    </row>
    <row r="16" spans="1:17" ht="19.5" customHeight="1" thickBot="1" x14ac:dyDescent="0.25">
      <c r="A16" s="39">
        <v>2025</v>
      </c>
      <c r="B16" s="40">
        <f>B3</f>
        <v>2</v>
      </c>
      <c r="C16" s="39">
        <v>340</v>
      </c>
      <c r="D16" s="41">
        <v>45748</v>
      </c>
      <c r="E16" s="42">
        <v>21</v>
      </c>
      <c r="F16" s="39">
        <v>1</v>
      </c>
      <c r="G16" s="39" t="s">
        <v>21</v>
      </c>
      <c r="H16" s="43">
        <v>52</v>
      </c>
      <c r="I16" s="43" t="s">
        <v>23</v>
      </c>
      <c r="J16" s="44">
        <v>8</v>
      </c>
      <c r="K16" s="45">
        <v>23</v>
      </c>
      <c r="L16" s="46">
        <v>14.942307692307701</v>
      </c>
      <c r="M16" s="255" t="s">
        <v>16</v>
      </c>
      <c r="Q16"/>
    </row>
    <row r="17" spans="1:23" ht="19.5" customHeight="1" thickBot="1" x14ac:dyDescent="0.25">
      <c r="A17" s="47">
        <v>2025</v>
      </c>
      <c r="B17" s="47">
        <f>B3</f>
        <v>2</v>
      </c>
      <c r="C17" s="48">
        <v>342</v>
      </c>
      <c r="D17" s="49"/>
      <c r="E17" s="50"/>
      <c r="F17" s="48">
        <v>0</v>
      </c>
      <c r="G17" s="48" t="s">
        <v>13</v>
      </c>
      <c r="H17" s="51"/>
      <c r="I17" s="51"/>
      <c r="J17" s="52"/>
      <c r="K17" s="53"/>
      <c r="L17" s="54"/>
      <c r="M17" s="255"/>
      <c r="Q17"/>
    </row>
    <row r="18" spans="1:23" ht="19.5" customHeight="1" thickBot="1" x14ac:dyDescent="0.25">
      <c r="A18" s="47">
        <v>2025</v>
      </c>
      <c r="B18" s="47">
        <f>B3</f>
        <v>2</v>
      </c>
      <c r="C18" s="48">
        <v>343</v>
      </c>
      <c r="D18" s="49"/>
      <c r="E18" s="50"/>
      <c r="F18" s="48">
        <v>0</v>
      </c>
      <c r="G18" s="48" t="s">
        <v>13</v>
      </c>
      <c r="H18" s="51"/>
      <c r="I18" s="51"/>
      <c r="J18" s="52"/>
      <c r="K18" s="53"/>
      <c r="L18" s="54"/>
      <c r="M18" s="255"/>
      <c r="Q18"/>
    </row>
    <row r="19" spans="1:23" ht="19.5" customHeight="1" thickBot="1" x14ac:dyDescent="0.25">
      <c r="A19" s="47">
        <v>2025</v>
      </c>
      <c r="B19" s="47">
        <f>B4</f>
        <v>2</v>
      </c>
      <c r="C19" s="48">
        <v>344</v>
      </c>
      <c r="D19" s="49"/>
      <c r="E19" s="50"/>
      <c r="F19" s="48">
        <v>0</v>
      </c>
      <c r="G19" s="48" t="s">
        <v>13</v>
      </c>
      <c r="H19" s="51"/>
      <c r="I19" s="51"/>
      <c r="J19" s="52"/>
      <c r="K19" s="53"/>
      <c r="L19" s="54"/>
      <c r="M19" s="255"/>
      <c r="N19" s="7"/>
      <c r="O19" s="7"/>
      <c r="W19"/>
    </row>
    <row r="20" spans="1:23" ht="19.5" customHeight="1" thickBot="1" x14ac:dyDescent="0.25">
      <c r="A20" s="47">
        <v>2025</v>
      </c>
      <c r="B20" s="47">
        <f>B5</f>
        <v>2</v>
      </c>
      <c r="C20" s="48">
        <v>345</v>
      </c>
      <c r="D20" s="49"/>
      <c r="E20" s="50"/>
      <c r="F20" s="48">
        <v>0</v>
      </c>
      <c r="G20" s="48" t="s">
        <v>13</v>
      </c>
      <c r="H20" s="51"/>
      <c r="I20" s="51"/>
      <c r="J20" s="52"/>
      <c r="K20" s="53"/>
      <c r="L20" s="54"/>
      <c r="M20" s="255"/>
      <c r="N20" s="7"/>
      <c r="O20" s="7"/>
      <c r="W20"/>
    </row>
    <row r="21" spans="1:23" ht="19.5" customHeight="1" thickBot="1" x14ac:dyDescent="0.25">
      <c r="A21" s="55">
        <v>2025</v>
      </c>
      <c r="B21" s="56">
        <f>B6</f>
        <v>2</v>
      </c>
      <c r="C21" s="57">
        <v>346</v>
      </c>
      <c r="D21" s="58"/>
      <c r="E21" s="59"/>
      <c r="F21" s="57">
        <v>0</v>
      </c>
      <c r="G21" s="57" t="s">
        <v>13</v>
      </c>
      <c r="H21" s="60"/>
      <c r="I21" s="60"/>
      <c r="J21" s="61"/>
      <c r="K21" s="62"/>
      <c r="L21" s="63"/>
      <c r="M21" s="255"/>
      <c r="N21" s="7"/>
      <c r="O21" s="7"/>
      <c r="W21"/>
    </row>
    <row r="22" spans="1:23" ht="19.5" customHeight="1" thickBot="1" x14ac:dyDescent="0.25">
      <c r="A22" s="64">
        <v>2025</v>
      </c>
      <c r="B22" s="65">
        <f>B3</f>
        <v>2</v>
      </c>
      <c r="C22" s="64">
        <v>401</v>
      </c>
      <c r="D22" s="66">
        <v>45749</v>
      </c>
      <c r="E22" s="67">
        <v>40</v>
      </c>
      <c r="F22" s="64">
        <v>2</v>
      </c>
      <c r="G22" s="64" t="s">
        <v>21</v>
      </c>
      <c r="H22" s="68">
        <v>2</v>
      </c>
      <c r="I22" s="68" t="s">
        <v>23</v>
      </c>
      <c r="J22" s="69">
        <v>18</v>
      </c>
      <c r="K22" s="70">
        <v>21</v>
      </c>
      <c r="L22" s="71">
        <v>19.5</v>
      </c>
      <c r="M22" s="259" t="s">
        <v>17</v>
      </c>
      <c r="N22" s="7"/>
      <c r="O22" s="7"/>
      <c r="W22"/>
    </row>
    <row r="23" spans="1:23" ht="19.5" customHeight="1" thickBot="1" x14ac:dyDescent="0.25">
      <c r="A23" s="64">
        <v>2025</v>
      </c>
      <c r="B23" s="72">
        <f>B3</f>
        <v>2</v>
      </c>
      <c r="C23" s="73">
        <v>404</v>
      </c>
      <c r="D23" s="74">
        <v>45750</v>
      </c>
      <c r="E23" s="67">
        <v>25</v>
      </c>
      <c r="F23" s="64">
        <v>3</v>
      </c>
      <c r="G23" s="73" t="s">
        <v>21</v>
      </c>
      <c r="H23" s="75">
        <v>18</v>
      </c>
      <c r="I23" s="75" t="s">
        <v>26</v>
      </c>
      <c r="J23" s="76">
        <v>6</v>
      </c>
      <c r="K23" s="247">
        <v>35</v>
      </c>
      <c r="L23" s="78">
        <v>10.2222222222222</v>
      </c>
      <c r="M23" s="259"/>
      <c r="N23" s="7"/>
      <c r="O23" s="7"/>
      <c r="W23"/>
    </row>
    <row r="24" spans="1:23" ht="19.5" customHeight="1" thickBot="1" x14ac:dyDescent="0.3">
      <c r="A24" s="79">
        <v>2025</v>
      </c>
      <c r="B24" s="79">
        <f>B3</f>
        <v>2</v>
      </c>
      <c r="C24" s="80" t="s">
        <v>52</v>
      </c>
      <c r="D24" s="81">
        <v>45750</v>
      </c>
      <c r="E24" s="82">
        <v>17</v>
      </c>
      <c r="F24" s="83">
        <v>1</v>
      </c>
      <c r="G24" s="80" t="s">
        <v>22</v>
      </c>
      <c r="H24" s="82"/>
      <c r="I24" s="82" t="s">
        <v>23</v>
      </c>
      <c r="J24" s="84"/>
      <c r="K24" s="85"/>
      <c r="L24" s="86"/>
      <c r="M24" s="259"/>
      <c r="N24" s="7"/>
      <c r="O24" s="7"/>
      <c r="W24"/>
    </row>
    <row r="25" spans="1:23" ht="19.5" customHeight="1" thickBot="1" x14ac:dyDescent="0.25">
      <c r="A25" s="87">
        <v>2025</v>
      </c>
      <c r="B25" s="87">
        <f>B3</f>
        <v>2</v>
      </c>
      <c r="C25" s="88">
        <v>411</v>
      </c>
      <c r="D25" s="89">
        <v>45750</v>
      </c>
      <c r="E25" s="90">
        <v>36</v>
      </c>
      <c r="F25" s="91">
        <v>1</v>
      </c>
      <c r="G25" s="88" t="s">
        <v>21</v>
      </c>
      <c r="H25" s="90">
        <v>12</v>
      </c>
      <c r="I25" s="90" t="s">
        <v>23</v>
      </c>
      <c r="J25" s="92">
        <v>6</v>
      </c>
      <c r="K25" s="93">
        <v>16</v>
      </c>
      <c r="L25" s="94">
        <v>9.4166666666666696</v>
      </c>
      <c r="M25" s="258" t="s">
        <v>19</v>
      </c>
      <c r="N25" s="7"/>
      <c r="O25" s="7"/>
      <c r="W25"/>
    </row>
    <row r="26" spans="1:23" ht="19.5" customHeight="1" thickBot="1" x14ac:dyDescent="0.25">
      <c r="A26" s="95">
        <v>2025</v>
      </c>
      <c r="B26" s="95">
        <f>B3</f>
        <v>2</v>
      </c>
      <c r="C26" s="96">
        <v>418</v>
      </c>
      <c r="D26" s="97"/>
      <c r="E26" s="98"/>
      <c r="F26" s="99">
        <v>0</v>
      </c>
      <c r="G26" s="96" t="s">
        <v>13</v>
      </c>
      <c r="H26" s="98"/>
      <c r="I26" s="98"/>
      <c r="J26" s="100"/>
      <c r="K26" s="101"/>
      <c r="L26" s="102"/>
      <c r="M26" s="258"/>
      <c r="N26" s="7"/>
      <c r="O26" s="7"/>
      <c r="W26"/>
    </row>
    <row r="27" spans="1:23" ht="19.5" customHeight="1" thickBot="1" x14ac:dyDescent="0.25">
      <c r="A27" s="95">
        <v>2025</v>
      </c>
      <c r="B27" s="95">
        <f>B3</f>
        <v>2</v>
      </c>
      <c r="C27" s="96">
        <v>501</v>
      </c>
      <c r="D27" s="103">
        <v>45750</v>
      </c>
      <c r="E27" s="104">
        <v>37</v>
      </c>
      <c r="F27" s="99">
        <v>3</v>
      </c>
      <c r="G27" s="96" t="s">
        <v>21</v>
      </c>
      <c r="H27" s="98">
        <v>144</v>
      </c>
      <c r="I27" s="98" t="s">
        <v>26</v>
      </c>
      <c r="J27" s="100">
        <v>6</v>
      </c>
      <c r="K27" s="101">
        <v>22</v>
      </c>
      <c r="L27" s="102">
        <v>14.0416666666667</v>
      </c>
      <c r="M27" s="258"/>
      <c r="N27" s="7"/>
      <c r="O27" s="7"/>
      <c r="W27"/>
    </row>
    <row r="28" spans="1:23" ht="19.5" customHeight="1" thickBot="1" x14ac:dyDescent="0.25">
      <c r="A28" s="95">
        <v>2025</v>
      </c>
      <c r="B28" s="95">
        <f>B3</f>
        <v>2</v>
      </c>
      <c r="C28" s="96">
        <v>504</v>
      </c>
      <c r="D28" s="97">
        <v>45750</v>
      </c>
      <c r="E28" s="98">
        <v>57</v>
      </c>
      <c r="F28" s="99">
        <v>3</v>
      </c>
      <c r="G28" s="96" t="s">
        <v>21</v>
      </c>
      <c r="H28" s="98">
        <v>58</v>
      </c>
      <c r="I28" s="98" t="s">
        <v>26</v>
      </c>
      <c r="J28" s="100">
        <v>6</v>
      </c>
      <c r="K28" s="101">
        <v>20</v>
      </c>
      <c r="L28" s="102">
        <v>12.017241379310301</v>
      </c>
      <c r="M28" s="258"/>
      <c r="N28" s="7"/>
      <c r="O28" s="7"/>
      <c r="W28"/>
    </row>
    <row r="29" spans="1:23" ht="19.5" customHeight="1" thickBot="1" x14ac:dyDescent="0.25">
      <c r="A29" s="95">
        <v>2025</v>
      </c>
      <c r="B29" s="95">
        <f>B3</f>
        <v>2</v>
      </c>
      <c r="C29" s="96">
        <v>519</v>
      </c>
      <c r="D29" s="97">
        <v>45750</v>
      </c>
      <c r="E29" s="98">
        <v>48</v>
      </c>
      <c r="F29" s="99">
        <v>3</v>
      </c>
      <c r="G29" s="96" t="s">
        <v>21</v>
      </c>
      <c r="H29" s="98">
        <v>10</v>
      </c>
      <c r="I29" s="98" t="s">
        <v>26</v>
      </c>
      <c r="J29" s="100">
        <v>6</v>
      </c>
      <c r="K29" s="101">
        <v>14</v>
      </c>
      <c r="L29" s="102">
        <v>12.1</v>
      </c>
      <c r="M29" s="258"/>
      <c r="N29" s="7"/>
      <c r="O29" s="7"/>
      <c r="W29"/>
    </row>
    <row r="30" spans="1:23" ht="19.5" customHeight="1" thickBot="1" x14ac:dyDescent="0.25">
      <c r="A30" s="95">
        <v>2025</v>
      </c>
      <c r="B30" s="95">
        <f>B3</f>
        <v>2</v>
      </c>
      <c r="C30" s="96">
        <v>602</v>
      </c>
      <c r="D30" s="103"/>
      <c r="E30" s="104"/>
      <c r="F30" s="99">
        <v>0</v>
      </c>
      <c r="G30" s="96" t="s">
        <v>13</v>
      </c>
      <c r="H30" s="98"/>
      <c r="I30" s="98"/>
      <c r="J30" s="100"/>
      <c r="K30" s="101"/>
      <c r="L30" s="102"/>
      <c r="M30" s="258"/>
      <c r="N30" s="7"/>
      <c r="O30" s="7"/>
      <c r="W30"/>
    </row>
    <row r="31" spans="1:23" ht="19.5" customHeight="1" thickBot="1" x14ac:dyDescent="0.3">
      <c r="A31" s="95">
        <v>2025</v>
      </c>
      <c r="B31" s="95">
        <f>B3</f>
        <v>2</v>
      </c>
      <c r="C31" s="96" t="s">
        <v>39</v>
      </c>
      <c r="D31" s="97"/>
      <c r="E31" s="98"/>
      <c r="F31" s="99">
        <v>0</v>
      </c>
      <c r="G31" s="96" t="s">
        <v>13</v>
      </c>
      <c r="H31" s="98"/>
      <c r="I31" s="98"/>
      <c r="J31" s="100"/>
      <c r="K31" s="101"/>
      <c r="L31" s="102"/>
      <c r="M31" s="258"/>
      <c r="N31" s="7"/>
      <c r="O31" s="7"/>
      <c r="W31"/>
    </row>
    <row r="32" spans="1:23" ht="19.5" customHeight="1" thickBot="1" x14ac:dyDescent="0.25">
      <c r="A32" s="95">
        <v>2025</v>
      </c>
      <c r="B32" s="95">
        <f>B3</f>
        <v>2</v>
      </c>
      <c r="C32" s="96">
        <v>609</v>
      </c>
      <c r="D32" s="97"/>
      <c r="E32" s="98"/>
      <c r="F32" s="99">
        <v>0</v>
      </c>
      <c r="G32" s="96" t="s">
        <v>13</v>
      </c>
      <c r="H32" s="98"/>
      <c r="I32" s="98"/>
      <c r="J32" s="100"/>
      <c r="K32" s="101"/>
      <c r="L32" s="102"/>
      <c r="M32" s="258"/>
      <c r="N32" s="7"/>
      <c r="O32" s="7"/>
      <c r="W32"/>
    </row>
    <row r="33" spans="1:23" ht="19.5" customHeight="1" thickBot="1" x14ac:dyDescent="0.25">
      <c r="A33" s="105">
        <v>2025</v>
      </c>
      <c r="B33" s="106">
        <f>B3</f>
        <v>2</v>
      </c>
      <c r="C33" s="107">
        <v>610</v>
      </c>
      <c r="D33" s="108">
        <v>45750</v>
      </c>
      <c r="E33" s="109">
        <v>37</v>
      </c>
      <c r="F33" s="110">
        <v>3</v>
      </c>
      <c r="G33" s="107" t="s">
        <v>22</v>
      </c>
      <c r="H33" s="111"/>
      <c r="I33" s="111" t="s">
        <v>26</v>
      </c>
      <c r="J33" s="112"/>
      <c r="K33" s="113"/>
      <c r="L33" s="114"/>
      <c r="M33" s="258"/>
      <c r="N33" s="7"/>
      <c r="O33" s="7"/>
      <c r="W33"/>
    </row>
    <row r="34" spans="1:23" ht="19.5" customHeight="1" thickBot="1" x14ac:dyDescent="0.25">
      <c r="A34" s="115">
        <v>2025</v>
      </c>
      <c r="B34" s="116">
        <f>B3</f>
        <v>2</v>
      </c>
      <c r="C34" s="117">
        <v>508</v>
      </c>
      <c r="D34" s="118">
        <v>45749</v>
      </c>
      <c r="E34" s="119">
        <v>53</v>
      </c>
      <c r="F34" s="120">
        <v>2</v>
      </c>
      <c r="G34" s="121" t="s">
        <v>22</v>
      </c>
      <c r="H34" s="121"/>
      <c r="I34" s="121" t="s">
        <v>23</v>
      </c>
      <c r="J34" s="122"/>
      <c r="K34" s="123"/>
      <c r="L34" s="124"/>
      <c r="M34" s="256" t="s">
        <v>6</v>
      </c>
      <c r="N34" s="7"/>
      <c r="O34" s="7"/>
      <c r="W34"/>
    </row>
    <row r="35" spans="1:23" ht="19.5" customHeight="1" thickBot="1" x14ac:dyDescent="0.25">
      <c r="A35" s="116">
        <v>2025</v>
      </c>
      <c r="B35" s="116">
        <f>B3</f>
        <v>2</v>
      </c>
      <c r="C35" s="125">
        <v>513</v>
      </c>
      <c r="D35" s="126">
        <v>45750</v>
      </c>
      <c r="E35" s="127">
        <v>64</v>
      </c>
      <c r="F35" s="128">
        <v>2</v>
      </c>
      <c r="G35" s="129" t="s">
        <v>21</v>
      </c>
      <c r="H35" s="129">
        <v>42</v>
      </c>
      <c r="I35" s="129" t="s">
        <v>23</v>
      </c>
      <c r="J35" s="130">
        <v>6</v>
      </c>
      <c r="K35" s="131">
        <v>22</v>
      </c>
      <c r="L35" s="132">
        <v>11.119047619047601</v>
      </c>
      <c r="M35" s="256"/>
      <c r="N35" s="7"/>
      <c r="O35" s="7"/>
      <c r="W35"/>
    </row>
    <row r="36" spans="1:23" ht="19.5" customHeight="1" thickBot="1" x14ac:dyDescent="0.25">
      <c r="A36" s="116">
        <v>2025</v>
      </c>
      <c r="B36" s="116">
        <f>B3</f>
        <v>2</v>
      </c>
      <c r="C36" s="125">
        <v>520</v>
      </c>
      <c r="D36" s="126">
        <v>45749</v>
      </c>
      <c r="E36" s="127">
        <v>75</v>
      </c>
      <c r="F36" s="128">
        <v>2</v>
      </c>
      <c r="G36" s="129" t="s">
        <v>22</v>
      </c>
      <c r="H36" s="129"/>
      <c r="I36" s="129" t="s">
        <v>23</v>
      </c>
      <c r="J36" s="130"/>
      <c r="K36" s="131"/>
      <c r="L36" s="132"/>
      <c r="M36" s="256"/>
      <c r="N36" s="7"/>
      <c r="O36" s="7"/>
      <c r="W36"/>
    </row>
    <row r="37" spans="1:23" ht="19.5" customHeight="1" thickBot="1" x14ac:dyDescent="0.25">
      <c r="A37" s="116">
        <v>2025</v>
      </c>
      <c r="B37" s="116">
        <f>B3</f>
        <v>2</v>
      </c>
      <c r="C37" s="125">
        <v>801</v>
      </c>
      <c r="D37" s="126">
        <v>45750</v>
      </c>
      <c r="E37" s="127">
        <v>62</v>
      </c>
      <c r="F37" s="128">
        <v>3</v>
      </c>
      <c r="G37" s="129" t="s">
        <v>21</v>
      </c>
      <c r="H37" s="129">
        <v>4</v>
      </c>
      <c r="I37" s="129" t="s">
        <v>26</v>
      </c>
      <c r="J37" s="130">
        <v>11</v>
      </c>
      <c r="K37" s="131">
        <v>16</v>
      </c>
      <c r="L37" s="132">
        <v>13.5</v>
      </c>
      <c r="M37" s="256"/>
      <c r="N37" s="7"/>
      <c r="O37" s="7"/>
      <c r="W37"/>
    </row>
    <row r="38" spans="1:23" ht="19.5" customHeight="1" thickBot="1" x14ac:dyDescent="0.25">
      <c r="A38" s="116">
        <v>2025</v>
      </c>
      <c r="B38" s="133">
        <f>B3</f>
        <v>2</v>
      </c>
      <c r="C38" s="134">
        <v>804</v>
      </c>
      <c r="D38" s="135">
        <v>45748</v>
      </c>
      <c r="E38" s="136">
        <v>62</v>
      </c>
      <c r="F38" s="137">
        <v>3</v>
      </c>
      <c r="G38" s="138" t="s">
        <v>21</v>
      </c>
      <c r="H38" s="138">
        <v>2</v>
      </c>
      <c r="I38" s="138" t="s">
        <v>26</v>
      </c>
      <c r="J38" s="139">
        <v>5</v>
      </c>
      <c r="K38" s="140">
        <v>7</v>
      </c>
      <c r="L38" s="141">
        <v>6</v>
      </c>
      <c r="M38" s="256"/>
      <c r="N38" s="7"/>
      <c r="O38" s="7"/>
      <c r="W38"/>
    </row>
    <row r="39" spans="1:23" ht="19.5" customHeight="1" x14ac:dyDescent="0.2">
      <c r="A39" s="142">
        <v>2025</v>
      </c>
      <c r="B39" s="142">
        <f>B3</f>
        <v>2</v>
      </c>
      <c r="C39" s="143">
        <v>703</v>
      </c>
      <c r="D39" s="144">
        <v>45750</v>
      </c>
      <c r="E39" s="145">
        <v>81</v>
      </c>
      <c r="F39" s="146">
        <v>3</v>
      </c>
      <c r="G39" s="147" t="s">
        <v>22</v>
      </c>
      <c r="H39" s="148"/>
      <c r="I39" s="148" t="s">
        <v>26</v>
      </c>
      <c r="J39" s="149"/>
      <c r="K39" s="150"/>
      <c r="L39" s="151"/>
      <c r="M39" s="260" t="s">
        <v>7</v>
      </c>
      <c r="N39" s="7"/>
      <c r="O39" s="7"/>
      <c r="W39"/>
    </row>
    <row r="40" spans="1:23" ht="19.5" customHeight="1" x14ac:dyDescent="0.25">
      <c r="A40" s="152">
        <v>2025</v>
      </c>
      <c r="B40" s="152">
        <f>B3</f>
        <v>2</v>
      </c>
      <c r="C40" s="153" t="s">
        <v>40</v>
      </c>
      <c r="D40" s="154">
        <v>45750</v>
      </c>
      <c r="E40" s="155">
        <v>60</v>
      </c>
      <c r="F40" s="147">
        <v>2</v>
      </c>
      <c r="G40" s="147" t="s">
        <v>22</v>
      </c>
      <c r="H40" s="156"/>
      <c r="I40" s="156" t="s">
        <v>23</v>
      </c>
      <c r="J40" s="157"/>
      <c r="K40" s="158"/>
      <c r="L40" s="159"/>
      <c r="M40" s="261"/>
      <c r="N40" s="7"/>
      <c r="O40" s="7"/>
      <c r="W40"/>
    </row>
    <row r="41" spans="1:23" ht="19.5" customHeight="1" x14ac:dyDescent="0.2">
      <c r="A41" s="152">
        <v>2025</v>
      </c>
      <c r="B41" s="152">
        <f>B3</f>
        <v>2</v>
      </c>
      <c r="C41" s="153">
        <v>705</v>
      </c>
      <c r="D41" s="154">
        <v>45750</v>
      </c>
      <c r="E41" s="155">
        <v>88</v>
      </c>
      <c r="F41" s="147">
        <v>3</v>
      </c>
      <c r="G41" s="147" t="s">
        <v>22</v>
      </c>
      <c r="H41" s="156"/>
      <c r="I41" s="156" t="s">
        <v>26</v>
      </c>
      <c r="J41" s="157"/>
      <c r="K41" s="158"/>
      <c r="L41" s="159"/>
      <c r="M41" s="261"/>
      <c r="N41" s="7"/>
      <c r="O41" s="7"/>
      <c r="W41"/>
    </row>
    <row r="42" spans="1:23" ht="19.5" customHeight="1" x14ac:dyDescent="0.25">
      <c r="A42" s="152">
        <v>2025</v>
      </c>
      <c r="B42" s="152">
        <f>B3</f>
        <v>2</v>
      </c>
      <c r="C42" s="153" t="s">
        <v>53</v>
      </c>
      <c r="D42" s="154">
        <v>45750</v>
      </c>
      <c r="E42" s="155">
        <v>59</v>
      </c>
      <c r="F42" s="147">
        <v>2</v>
      </c>
      <c r="G42" s="147" t="s">
        <v>22</v>
      </c>
      <c r="H42" s="156"/>
      <c r="I42" s="156" t="s">
        <v>23</v>
      </c>
      <c r="J42" s="157"/>
      <c r="K42" s="158"/>
      <c r="L42" s="159"/>
      <c r="M42" s="261"/>
      <c r="N42" s="7"/>
      <c r="O42" s="7"/>
      <c r="W42"/>
    </row>
    <row r="43" spans="1:23" ht="19.5" customHeight="1" x14ac:dyDescent="0.2">
      <c r="A43" s="152">
        <v>2025</v>
      </c>
      <c r="B43" s="152">
        <f>B3</f>
        <v>2</v>
      </c>
      <c r="C43" s="153">
        <v>707</v>
      </c>
      <c r="D43" s="154">
        <v>45750</v>
      </c>
      <c r="E43" s="155">
        <v>75</v>
      </c>
      <c r="F43" s="147">
        <v>3</v>
      </c>
      <c r="G43" s="147" t="s">
        <v>21</v>
      </c>
      <c r="H43" s="156">
        <v>1</v>
      </c>
      <c r="I43" s="156" t="s">
        <v>26</v>
      </c>
      <c r="J43" s="157">
        <v>6</v>
      </c>
      <c r="K43" s="158">
        <v>6</v>
      </c>
      <c r="L43" s="159">
        <v>6</v>
      </c>
      <c r="M43" s="261"/>
      <c r="N43" s="7"/>
      <c r="O43" s="7"/>
      <c r="W43"/>
    </row>
    <row r="44" spans="1:23" ht="19.5" customHeight="1" x14ac:dyDescent="0.2">
      <c r="A44" s="152">
        <v>2025</v>
      </c>
      <c r="B44" s="152">
        <f>B3</f>
        <v>2</v>
      </c>
      <c r="C44" s="153">
        <v>711</v>
      </c>
      <c r="D44" s="154">
        <v>45750</v>
      </c>
      <c r="E44" s="155">
        <v>75</v>
      </c>
      <c r="F44" s="147">
        <v>3</v>
      </c>
      <c r="G44" s="147" t="s">
        <v>21</v>
      </c>
      <c r="H44" s="156">
        <v>1</v>
      </c>
      <c r="I44" s="156" t="s">
        <v>26</v>
      </c>
      <c r="J44" s="157">
        <v>8</v>
      </c>
      <c r="K44" s="158">
        <v>8</v>
      </c>
      <c r="L44" s="159">
        <v>8</v>
      </c>
      <c r="M44" s="261"/>
      <c r="N44" s="7"/>
      <c r="O44" s="7"/>
      <c r="W44"/>
    </row>
    <row r="45" spans="1:23" ht="19.5" customHeight="1" x14ac:dyDescent="0.2">
      <c r="A45" s="160">
        <v>2025</v>
      </c>
      <c r="B45" s="160">
        <f>B3</f>
        <v>2</v>
      </c>
      <c r="C45" s="161">
        <v>716</v>
      </c>
      <c r="D45" s="162">
        <v>45751</v>
      </c>
      <c r="E45" s="163">
        <v>72</v>
      </c>
      <c r="F45" s="164">
        <v>3</v>
      </c>
      <c r="G45" s="165" t="s">
        <v>22</v>
      </c>
      <c r="H45" s="163"/>
      <c r="I45" s="163" t="s">
        <v>26</v>
      </c>
      <c r="J45" s="166"/>
      <c r="K45" s="167"/>
      <c r="L45" s="168"/>
      <c r="M45" s="261"/>
      <c r="N45" s="7"/>
      <c r="O45" s="7"/>
      <c r="W45"/>
    </row>
    <row r="46" spans="1:23" ht="19.5" customHeight="1" x14ac:dyDescent="0.2">
      <c r="A46" s="152">
        <v>2025</v>
      </c>
      <c r="B46" s="152">
        <f>B3</f>
        <v>2</v>
      </c>
      <c r="C46" s="153">
        <v>718</v>
      </c>
      <c r="D46" s="154">
        <v>45751</v>
      </c>
      <c r="E46" s="155">
        <v>110</v>
      </c>
      <c r="F46" s="147">
        <v>3</v>
      </c>
      <c r="G46" s="147" t="s">
        <v>22</v>
      </c>
      <c r="H46" s="155"/>
      <c r="I46" s="156" t="s">
        <v>26</v>
      </c>
      <c r="J46" s="169"/>
      <c r="K46" s="170"/>
      <c r="L46" s="171"/>
      <c r="M46" s="261"/>
      <c r="N46" s="7"/>
      <c r="O46" s="7"/>
      <c r="W46"/>
    </row>
    <row r="47" spans="1:23" ht="19.5" customHeight="1" x14ac:dyDescent="0.2">
      <c r="A47" s="152">
        <v>2025</v>
      </c>
      <c r="B47" s="152">
        <f>B3</f>
        <v>2</v>
      </c>
      <c r="C47" s="153">
        <v>719</v>
      </c>
      <c r="D47" s="154"/>
      <c r="E47" s="155"/>
      <c r="F47" s="147">
        <v>0</v>
      </c>
      <c r="G47" s="147" t="s">
        <v>13</v>
      </c>
      <c r="H47" s="156"/>
      <c r="I47" s="156"/>
      <c r="J47" s="157"/>
      <c r="K47" s="158"/>
      <c r="L47" s="159"/>
      <c r="M47" s="261"/>
      <c r="N47" s="7"/>
      <c r="O47" s="7"/>
      <c r="W47"/>
    </row>
    <row r="48" spans="1:23" ht="19.5" customHeight="1" x14ac:dyDescent="0.2">
      <c r="A48" s="152">
        <v>2025</v>
      </c>
      <c r="B48" s="152">
        <f>B3</f>
        <v>2</v>
      </c>
      <c r="C48" s="153">
        <v>720</v>
      </c>
      <c r="D48" s="154">
        <v>45751</v>
      </c>
      <c r="E48" s="155">
        <v>109</v>
      </c>
      <c r="F48" s="147">
        <v>3</v>
      </c>
      <c r="G48" s="147" t="s">
        <v>22</v>
      </c>
      <c r="H48" s="156"/>
      <c r="I48" s="156" t="s">
        <v>26</v>
      </c>
      <c r="J48" s="157"/>
      <c r="K48" s="158"/>
      <c r="L48" s="159"/>
      <c r="M48" s="261"/>
      <c r="N48" s="7"/>
      <c r="O48" s="7"/>
      <c r="W48"/>
    </row>
    <row r="49" spans="1:23" ht="19.5" customHeight="1" x14ac:dyDescent="0.25">
      <c r="A49" s="152">
        <v>2025</v>
      </c>
      <c r="B49" s="152">
        <f>B3</f>
        <v>2</v>
      </c>
      <c r="C49" s="153">
        <v>723</v>
      </c>
      <c r="D49" s="154">
        <v>45751</v>
      </c>
      <c r="E49" s="155">
        <v>85</v>
      </c>
      <c r="F49" s="147">
        <v>3</v>
      </c>
      <c r="G49" s="223" t="s">
        <v>28</v>
      </c>
      <c r="H49" s="155">
        <v>1</v>
      </c>
      <c r="I49" s="156" t="s">
        <v>26</v>
      </c>
      <c r="J49" s="169">
        <v>11</v>
      </c>
      <c r="K49" s="170">
        <v>11</v>
      </c>
      <c r="L49" s="171">
        <v>11</v>
      </c>
      <c r="M49" s="261"/>
      <c r="N49" s="7"/>
      <c r="O49" s="7"/>
      <c r="W49"/>
    </row>
    <row r="50" spans="1:23" ht="19.5" customHeight="1" x14ac:dyDescent="0.2">
      <c r="A50" s="152">
        <v>2025</v>
      </c>
      <c r="B50" s="152">
        <f>B3</f>
        <v>2</v>
      </c>
      <c r="C50" s="153">
        <v>724</v>
      </c>
      <c r="D50" s="154">
        <v>45751</v>
      </c>
      <c r="E50" s="155">
        <v>65</v>
      </c>
      <c r="F50" s="147">
        <v>3</v>
      </c>
      <c r="G50" s="147" t="s">
        <v>22</v>
      </c>
      <c r="H50" s="156"/>
      <c r="I50" s="156" t="s">
        <v>26</v>
      </c>
      <c r="J50" s="157"/>
      <c r="K50" s="158"/>
      <c r="L50" s="159"/>
      <c r="M50" s="261"/>
      <c r="N50" s="7"/>
      <c r="O50" s="7"/>
      <c r="W50"/>
    </row>
    <row r="51" spans="1:23" ht="19.5" customHeight="1" thickBot="1" x14ac:dyDescent="0.25">
      <c r="A51" s="172">
        <v>2025</v>
      </c>
      <c r="B51" s="172">
        <f>B3</f>
        <v>2</v>
      </c>
      <c r="C51" s="173">
        <v>726</v>
      </c>
      <c r="D51" s="174"/>
      <c r="E51" s="175"/>
      <c r="F51" s="176">
        <v>0</v>
      </c>
      <c r="G51" s="147" t="s">
        <v>13</v>
      </c>
      <c r="H51" s="177"/>
      <c r="I51" s="177"/>
      <c r="J51" s="178"/>
      <c r="K51" s="179"/>
      <c r="L51" s="180"/>
      <c r="M51" s="262"/>
      <c r="N51" s="7"/>
      <c r="O51" s="7"/>
      <c r="W51"/>
    </row>
    <row r="52" spans="1:23" ht="19.5" customHeight="1" thickBot="1" x14ac:dyDescent="0.25">
      <c r="A52" s="181">
        <v>2025</v>
      </c>
      <c r="B52" s="181">
        <f>B3</f>
        <v>2</v>
      </c>
      <c r="C52" s="182">
        <v>809</v>
      </c>
      <c r="D52" s="183">
        <v>45748</v>
      </c>
      <c r="E52" s="184">
        <v>67</v>
      </c>
      <c r="F52" s="181">
        <v>3</v>
      </c>
      <c r="G52" s="182" t="s">
        <v>21</v>
      </c>
      <c r="H52" s="185">
        <v>1</v>
      </c>
      <c r="I52" s="185" t="s">
        <v>26</v>
      </c>
      <c r="J52" s="186">
        <v>6</v>
      </c>
      <c r="K52" s="187">
        <v>6</v>
      </c>
      <c r="L52" s="188">
        <v>6</v>
      </c>
      <c r="M52" s="257" t="s">
        <v>8</v>
      </c>
      <c r="N52" s="7"/>
      <c r="O52" s="7"/>
      <c r="W52"/>
    </row>
    <row r="53" spans="1:23" ht="19.5" customHeight="1" thickBot="1" x14ac:dyDescent="0.3">
      <c r="A53" s="189">
        <v>2025</v>
      </c>
      <c r="B53" s="189">
        <f>B3</f>
        <v>2</v>
      </c>
      <c r="C53" s="190" t="s">
        <v>29</v>
      </c>
      <c r="D53" s="191">
        <v>45748</v>
      </c>
      <c r="E53" s="192">
        <v>81</v>
      </c>
      <c r="F53" s="189">
        <v>3</v>
      </c>
      <c r="G53" s="190" t="s">
        <v>21</v>
      </c>
      <c r="H53" s="193">
        <v>1</v>
      </c>
      <c r="I53" s="193" t="s">
        <v>26</v>
      </c>
      <c r="J53" s="194">
        <v>7</v>
      </c>
      <c r="K53" s="195">
        <v>7</v>
      </c>
      <c r="L53" s="196">
        <v>7</v>
      </c>
      <c r="M53" s="257"/>
      <c r="N53" s="7"/>
      <c r="O53" s="7"/>
      <c r="W53"/>
    </row>
    <row r="54" spans="1:23" ht="19.5" customHeight="1" thickBot="1" x14ac:dyDescent="0.25">
      <c r="A54" s="197">
        <v>2025</v>
      </c>
      <c r="B54" s="197">
        <f>B3</f>
        <v>2</v>
      </c>
      <c r="C54" s="198">
        <v>815</v>
      </c>
      <c r="D54" s="199">
        <v>45748</v>
      </c>
      <c r="E54" s="200">
        <v>92</v>
      </c>
      <c r="F54" s="197">
        <v>3</v>
      </c>
      <c r="G54" s="201" t="s">
        <v>22</v>
      </c>
      <c r="H54" s="202"/>
      <c r="I54" s="202" t="s">
        <v>26</v>
      </c>
      <c r="J54" s="203"/>
      <c r="K54" s="204"/>
      <c r="L54" s="205"/>
      <c r="M54" s="257"/>
      <c r="N54" s="7"/>
      <c r="O54" s="7"/>
      <c r="W54"/>
    </row>
    <row r="55" spans="1:23" ht="19.5" customHeight="1" thickBot="1" x14ac:dyDescent="0.3">
      <c r="A55" s="197">
        <v>2025</v>
      </c>
      <c r="B55" s="197">
        <f>B3</f>
        <v>2</v>
      </c>
      <c r="C55" s="198" t="s">
        <v>30</v>
      </c>
      <c r="D55" s="206">
        <v>45749</v>
      </c>
      <c r="E55" s="200">
        <v>99</v>
      </c>
      <c r="F55" s="197">
        <v>3</v>
      </c>
      <c r="G55" s="201" t="s">
        <v>22</v>
      </c>
      <c r="H55" s="202"/>
      <c r="I55" s="202" t="s">
        <v>26</v>
      </c>
      <c r="J55" s="203"/>
      <c r="K55" s="204"/>
      <c r="L55" s="205"/>
      <c r="M55" s="257"/>
      <c r="N55" s="7"/>
      <c r="O55" s="7"/>
      <c r="W55"/>
    </row>
    <row r="56" spans="1:23" ht="19.5" customHeight="1" thickBot="1" x14ac:dyDescent="0.3">
      <c r="A56" s="197">
        <v>2025</v>
      </c>
      <c r="B56" s="197">
        <f>B3</f>
        <v>2</v>
      </c>
      <c r="C56" s="198" t="s">
        <v>31</v>
      </c>
      <c r="D56" s="206">
        <v>45749</v>
      </c>
      <c r="E56" s="200">
        <v>67</v>
      </c>
      <c r="F56" s="197">
        <v>1</v>
      </c>
      <c r="G56" s="201" t="s">
        <v>22</v>
      </c>
      <c r="H56" s="202"/>
      <c r="I56" s="202" t="s">
        <v>26</v>
      </c>
      <c r="J56" s="203"/>
      <c r="K56" s="204"/>
      <c r="L56" s="205"/>
      <c r="M56" s="257"/>
      <c r="N56" s="7"/>
      <c r="O56" s="7"/>
      <c r="W56"/>
    </row>
    <row r="57" spans="1:23" ht="19.5" customHeight="1" thickBot="1" x14ac:dyDescent="0.25">
      <c r="A57" s="197">
        <v>2025</v>
      </c>
      <c r="B57" s="197">
        <f>B3</f>
        <v>2</v>
      </c>
      <c r="C57" s="198">
        <v>906</v>
      </c>
      <c r="D57" s="206">
        <v>45748</v>
      </c>
      <c r="E57" s="200">
        <v>120</v>
      </c>
      <c r="F57" s="197">
        <v>3</v>
      </c>
      <c r="G57" s="201" t="s">
        <v>22</v>
      </c>
      <c r="H57" s="202"/>
      <c r="I57" s="202" t="s">
        <v>26</v>
      </c>
      <c r="J57" s="203"/>
      <c r="K57" s="204"/>
      <c r="L57" s="205"/>
      <c r="M57" s="257"/>
      <c r="N57" s="7"/>
      <c r="O57" s="7"/>
      <c r="W57"/>
    </row>
    <row r="58" spans="1:23" ht="19.5" customHeight="1" thickBot="1" x14ac:dyDescent="0.25">
      <c r="A58" s="197">
        <v>2025</v>
      </c>
      <c r="B58" s="197">
        <f>B3</f>
        <v>2</v>
      </c>
      <c r="C58" s="198">
        <v>910</v>
      </c>
      <c r="D58" s="206">
        <v>45748</v>
      </c>
      <c r="E58" s="200">
        <v>99</v>
      </c>
      <c r="F58" s="197">
        <v>3</v>
      </c>
      <c r="G58" s="201" t="s">
        <v>22</v>
      </c>
      <c r="H58" s="202"/>
      <c r="I58" s="202" t="s">
        <v>26</v>
      </c>
      <c r="J58" s="203"/>
      <c r="K58" s="204"/>
      <c r="L58" s="205"/>
      <c r="M58" s="257"/>
      <c r="N58" s="7"/>
      <c r="O58" s="7"/>
      <c r="W58"/>
    </row>
    <row r="59" spans="1:23" ht="19.5" customHeight="1" thickBot="1" x14ac:dyDescent="0.25">
      <c r="A59" s="197">
        <v>2025</v>
      </c>
      <c r="B59" s="197">
        <f>B3</f>
        <v>2</v>
      </c>
      <c r="C59" s="198">
        <v>912</v>
      </c>
      <c r="D59" s="206">
        <v>45748</v>
      </c>
      <c r="E59" s="200">
        <v>102</v>
      </c>
      <c r="F59" s="197">
        <v>3</v>
      </c>
      <c r="G59" s="201" t="s">
        <v>22</v>
      </c>
      <c r="H59" s="202"/>
      <c r="I59" s="202" t="s">
        <v>26</v>
      </c>
      <c r="J59" s="203"/>
      <c r="K59" s="204"/>
      <c r="L59" s="205"/>
      <c r="M59" s="257"/>
      <c r="N59" s="7"/>
      <c r="O59" s="7"/>
      <c r="W59"/>
    </row>
    <row r="60" spans="1:23" ht="19.5" customHeight="1" thickBot="1" x14ac:dyDescent="0.25">
      <c r="A60" s="197">
        <v>2025</v>
      </c>
      <c r="B60" s="197">
        <f>B3</f>
        <v>2</v>
      </c>
      <c r="C60" s="198">
        <v>914</v>
      </c>
      <c r="D60" s="206">
        <v>45749</v>
      </c>
      <c r="E60" s="200">
        <v>124</v>
      </c>
      <c r="F60" s="197">
        <v>3</v>
      </c>
      <c r="G60" s="201" t="s">
        <v>22</v>
      </c>
      <c r="H60" s="202"/>
      <c r="I60" s="202" t="s">
        <v>26</v>
      </c>
      <c r="J60" s="203"/>
      <c r="K60" s="204"/>
      <c r="L60" s="205"/>
      <c r="M60" s="257"/>
      <c r="N60" s="7"/>
      <c r="O60" s="7"/>
      <c r="W60"/>
    </row>
    <row r="61" spans="1:23" ht="19.5" customHeight="1" thickBot="1" x14ac:dyDescent="0.25">
      <c r="A61" s="197">
        <v>2025</v>
      </c>
      <c r="B61" s="197">
        <f>B3</f>
        <v>2</v>
      </c>
      <c r="C61" s="198">
        <v>915</v>
      </c>
      <c r="D61" s="206">
        <v>45749</v>
      </c>
      <c r="E61" s="200">
        <v>103</v>
      </c>
      <c r="F61" s="197">
        <v>3</v>
      </c>
      <c r="G61" s="201" t="s">
        <v>22</v>
      </c>
      <c r="H61" s="202"/>
      <c r="I61" s="202" t="s">
        <v>26</v>
      </c>
      <c r="J61" s="203"/>
      <c r="K61" s="204"/>
      <c r="L61" s="205"/>
      <c r="M61" s="257"/>
      <c r="N61" s="7"/>
      <c r="O61" s="7"/>
      <c r="W61"/>
    </row>
    <row r="62" spans="1:23" ht="19.5" customHeight="1" thickBot="1" x14ac:dyDescent="0.25">
      <c r="A62" s="197">
        <v>2025</v>
      </c>
      <c r="B62" s="197">
        <f>B3</f>
        <v>2</v>
      </c>
      <c r="C62" s="198">
        <v>918</v>
      </c>
      <c r="D62" s="206">
        <v>45749</v>
      </c>
      <c r="E62" s="200">
        <v>137</v>
      </c>
      <c r="F62" s="197">
        <v>3</v>
      </c>
      <c r="G62" s="201" t="s">
        <v>21</v>
      </c>
      <c r="H62" s="202">
        <v>1</v>
      </c>
      <c r="I62" s="202" t="s">
        <v>26</v>
      </c>
      <c r="J62" s="203">
        <v>15</v>
      </c>
      <c r="K62" s="204">
        <v>15</v>
      </c>
      <c r="L62" s="205">
        <v>15</v>
      </c>
      <c r="M62" s="257"/>
      <c r="N62" s="7"/>
      <c r="O62" s="7"/>
      <c r="W62"/>
    </row>
    <row r="63" spans="1:23" ht="19.5" customHeight="1" thickBot="1" x14ac:dyDescent="0.25">
      <c r="A63" s="207">
        <v>2025</v>
      </c>
      <c r="B63" s="207">
        <f>B3</f>
        <v>2</v>
      </c>
      <c r="C63" s="208">
        <v>919</v>
      </c>
      <c r="D63" s="209">
        <v>45748</v>
      </c>
      <c r="E63" s="210">
        <v>110</v>
      </c>
      <c r="F63" s="207">
        <v>3</v>
      </c>
      <c r="G63" s="201" t="s">
        <v>22</v>
      </c>
      <c r="H63" s="211"/>
      <c r="I63" s="211" t="s">
        <v>26</v>
      </c>
      <c r="J63" s="212"/>
      <c r="K63" s="213"/>
      <c r="L63" s="214"/>
      <c r="M63" s="257"/>
    </row>
    <row r="64" spans="1:23" ht="19.5" customHeight="1" x14ac:dyDescent="0.25">
      <c r="A64" s="8" t="s">
        <v>36</v>
      </c>
      <c r="B64" s="9"/>
      <c r="C64" s="9"/>
      <c r="D64" s="9"/>
      <c r="E64" s="9"/>
      <c r="F64" s="9"/>
      <c r="G64" s="215"/>
      <c r="H64" s="9"/>
      <c r="I64" s="9"/>
      <c r="J64" s="9"/>
      <c r="K64" s="9"/>
      <c r="L64" s="216"/>
      <c r="M64" s="10"/>
    </row>
    <row r="65" spans="1:13" ht="19.5" customHeight="1" x14ac:dyDescent="0.25">
      <c r="A65" s="8" t="s">
        <v>37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217"/>
      <c r="M65" s="218"/>
    </row>
    <row r="66" spans="1:13" ht="19.5" customHeight="1" x14ac:dyDescent="0.25">
      <c r="A66" s="8" t="s">
        <v>38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217"/>
      <c r="M66" s="10"/>
    </row>
    <row r="67" spans="1:13" ht="15" customHeight="1" x14ac:dyDescent="0.2">
      <c r="A67" s="219" t="s">
        <v>50</v>
      </c>
      <c r="B67" s="220"/>
      <c r="C67" s="220"/>
      <c r="D67" s="10"/>
      <c r="E67" s="10"/>
      <c r="F67" s="10"/>
      <c r="G67" s="220"/>
      <c r="H67" s="220"/>
      <c r="I67" s="220"/>
      <c r="J67" s="220"/>
      <c r="K67" s="220"/>
      <c r="L67" s="220"/>
      <c r="M67" s="222"/>
    </row>
    <row r="68" spans="1:13" ht="15" customHeight="1" x14ac:dyDescent="0.2">
      <c r="H68" s="5"/>
      <c r="M68" s="6"/>
    </row>
    <row r="69" spans="1:13" ht="15" customHeight="1" x14ac:dyDescent="0.2">
      <c r="H69" s="5"/>
      <c r="M69" s="4"/>
    </row>
    <row r="70" spans="1:13" ht="15" customHeight="1" x14ac:dyDescent="0.2">
      <c r="H70" s="5"/>
    </row>
    <row r="71" spans="1:13" ht="15" customHeight="1" x14ac:dyDescent="0.2"/>
    <row r="72" spans="1:13" ht="15" customHeight="1" x14ac:dyDescent="0.2"/>
    <row r="73" spans="1:13" ht="15" customHeight="1" x14ac:dyDescent="0.2"/>
    <row r="74" spans="1:13" ht="15" customHeight="1" x14ac:dyDescent="0.2"/>
    <row r="75" spans="1:13" ht="15" customHeight="1" x14ac:dyDescent="0.2"/>
  </sheetData>
  <mergeCells count="8">
    <mergeCell ref="M39:M51"/>
    <mergeCell ref="M52:M63"/>
    <mergeCell ref="A1:P1"/>
    <mergeCell ref="M3:M15"/>
    <mergeCell ref="M16:M21"/>
    <mergeCell ref="M22:M24"/>
    <mergeCell ref="M25:M33"/>
    <mergeCell ref="M34:M38"/>
  </mergeCells>
  <dataValidations count="3">
    <dataValidation type="list" allowBlank="1" showInputMessage="1" showErrorMessage="1" sqref="G3:G63" xr:uid="{23322859-1D80-45AA-807A-32AA7B07CDDF}">
      <formula1>"Not Processed, No Smelt Catch, Dropped, Longfin Smelt, Delta Smelt"</formula1>
    </dataValidation>
    <dataValidation type="list" allowBlank="1" showInputMessage="1" showErrorMessage="1" sqref="I3:I63" xr:uid="{C16D2CC6-E2D4-4205-BC07-CF9DBC386E29}">
      <formula1>"Preliminary, Complete"</formula1>
    </dataValidation>
    <dataValidation type="list" allowBlank="1" showInputMessage="1" showErrorMessage="1" sqref="F56" xr:uid="{FEB060AD-E03C-4D3F-A1F2-1DFBEB5CD76F}">
      <formula1>"0,1"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2687-52B5-49A3-A389-C1172191A148}">
  <dimension ref="A1:W75"/>
  <sheetViews>
    <sheetView topLeftCell="A43" workbookViewId="0">
      <selection activeCell="A3" sqref="A3:M67"/>
    </sheetView>
  </sheetViews>
  <sheetFormatPr defaultColWidth="9.140625" defaultRowHeight="12.75" x14ac:dyDescent="0.2"/>
  <cols>
    <col min="1" max="1" width="5.85546875" style="1" customWidth="1"/>
    <col min="2" max="2" width="8.140625" style="1" customWidth="1"/>
    <col min="3" max="3" width="8.28515625" style="1" customWidth="1"/>
    <col min="4" max="4" width="8.5703125" style="1" customWidth="1"/>
    <col min="5" max="5" width="8" style="1" customWidth="1"/>
    <col min="6" max="6" width="12" style="1" customWidth="1"/>
    <col min="7" max="7" width="16.42578125" style="2" customWidth="1"/>
    <col min="8" max="8" width="7" style="1" customWidth="1"/>
    <col min="9" max="9" width="12" style="1" customWidth="1"/>
    <col min="10" max="10" width="8.140625" style="1" customWidth="1"/>
    <col min="11" max="11" width="8" style="1" customWidth="1"/>
    <col min="12" max="12" width="8.140625" style="3" customWidth="1"/>
    <col min="13" max="13" width="7.7109375" style="1" customWidth="1"/>
    <col min="14" max="14" width="9.140625" style="1"/>
    <col min="15" max="15" width="13.42578125" style="1" customWidth="1"/>
    <col min="16" max="17" width="13.28515625" style="1" customWidth="1"/>
    <col min="18" max="18" width="16.42578125" style="1" customWidth="1"/>
    <col min="19" max="19" width="18.85546875" style="1" customWidth="1"/>
    <col min="20" max="16384" width="9.140625" style="1"/>
  </cols>
  <sheetData>
    <row r="1" spans="1:17" ht="63" customHeight="1" thickBot="1" x14ac:dyDescent="0.25">
      <c r="A1" s="252" t="s">
        <v>27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7" ht="35.25" customHeight="1" thickBo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15</v>
      </c>
      <c r="F2" s="11" t="s">
        <v>4</v>
      </c>
      <c r="G2" s="11" t="s">
        <v>12</v>
      </c>
      <c r="H2" s="11" t="s">
        <v>5</v>
      </c>
      <c r="I2" s="11" t="s">
        <v>14</v>
      </c>
      <c r="J2" s="12" t="s">
        <v>9</v>
      </c>
      <c r="K2" s="13" t="s">
        <v>10</v>
      </c>
      <c r="L2" s="14" t="s">
        <v>11</v>
      </c>
      <c r="M2" s="15"/>
    </row>
    <row r="3" spans="1:17" ht="19.5" customHeight="1" thickBot="1" x14ac:dyDescent="0.25">
      <c r="A3" s="16">
        <v>2025</v>
      </c>
      <c r="B3" s="16">
        <v>3</v>
      </c>
      <c r="C3" s="16">
        <v>306</v>
      </c>
      <c r="D3" s="17"/>
      <c r="E3" s="18"/>
      <c r="F3" s="16">
        <v>0</v>
      </c>
      <c r="G3" s="16" t="s">
        <v>13</v>
      </c>
      <c r="H3" s="19"/>
      <c r="I3" s="18"/>
      <c r="J3" s="20"/>
      <c r="K3" s="21"/>
      <c r="L3" s="246"/>
      <c r="M3" s="254" t="s">
        <v>18</v>
      </c>
      <c r="Q3"/>
    </row>
    <row r="4" spans="1:17" ht="19.5" customHeight="1" thickBot="1" x14ac:dyDescent="0.25">
      <c r="A4" s="23">
        <v>2025</v>
      </c>
      <c r="B4" s="24">
        <f t="shared" ref="B4:B15" si="0">B3</f>
        <v>3</v>
      </c>
      <c r="C4" s="23">
        <v>308</v>
      </c>
      <c r="D4" s="25"/>
      <c r="E4" s="26"/>
      <c r="F4" s="23">
        <v>0</v>
      </c>
      <c r="G4" s="27" t="s">
        <v>13</v>
      </c>
      <c r="H4" s="28"/>
      <c r="I4" s="26"/>
      <c r="J4" s="29"/>
      <c r="K4" s="30"/>
      <c r="L4" s="241"/>
      <c r="M4" s="254"/>
      <c r="Q4"/>
    </row>
    <row r="5" spans="1:17" ht="19.5" customHeight="1" thickBot="1" x14ac:dyDescent="0.25">
      <c r="A5" s="23">
        <v>2025</v>
      </c>
      <c r="B5" s="24">
        <f t="shared" si="0"/>
        <v>3</v>
      </c>
      <c r="C5" s="23">
        <v>311</v>
      </c>
      <c r="D5" s="25"/>
      <c r="E5" s="26"/>
      <c r="F5" s="23">
        <v>0</v>
      </c>
      <c r="G5" s="27" t="s">
        <v>13</v>
      </c>
      <c r="H5" s="28"/>
      <c r="I5" s="26"/>
      <c r="J5" s="29"/>
      <c r="K5" s="30"/>
      <c r="L5" s="241"/>
      <c r="M5" s="254"/>
      <c r="Q5"/>
    </row>
    <row r="6" spans="1:17" ht="19.5" customHeight="1" thickBot="1" x14ac:dyDescent="0.25">
      <c r="A6" s="23">
        <v>2025</v>
      </c>
      <c r="B6" s="24">
        <f t="shared" si="0"/>
        <v>3</v>
      </c>
      <c r="C6" s="23">
        <v>315</v>
      </c>
      <c r="D6" s="25"/>
      <c r="E6" s="26"/>
      <c r="F6" s="23">
        <v>0</v>
      </c>
      <c r="G6" s="27" t="s">
        <v>13</v>
      </c>
      <c r="H6" s="28"/>
      <c r="I6" s="26"/>
      <c r="J6" s="29"/>
      <c r="K6" s="30"/>
      <c r="L6" s="241"/>
      <c r="M6" s="254"/>
      <c r="Q6"/>
    </row>
    <row r="7" spans="1:17" ht="19.5" customHeight="1" thickBot="1" x14ac:dyDescent="0.25">
      <c r="A7" s="23">
        <v>2025</v>
      </c>
      <c r="B7" s="24">
        <f t="shared" si="0"/>
        <v>3</v>
      </c>
      <c r="C7" s="23">
        <v>322</v>
      </c>
      <c r="D7" s="25"/>
      <c r="E7" s="26"/>
      <c r="F7" s="23">
        <v>0</v>
      </c>
      <c r="G7" s="27" t="s">
        <v>13</v>
      </c>
      <c r="H7" s="28"/>
      <c r="I7" s="26"/>
      <c r="J7" s="29"/>
      <c r="K7" s="30"/>
      <c r="L7" s="241"/>
      <c r="M7" s="254"/>
      <c r="Q7"/>
    </row>
    <row r="8" spans="1:17" ht="19.5" customHeight="1" thickBot="1" x14ac:dyDescent="0.25">
      <c r="A8" s="23">
        <v>2025</v>
      </c>
      <c r="B8" s="24">
        <f t="shared" si="0"/>
        <v>3</v>
      </c>
      <c r="C8" s="23">
        <v>323</v>
      </c>
      <c r="D8" s="25"/>
      <c r="E8" s="26"/>
      <c r="F8" s="23">
        <v>0</v>
      </c>
      <c r="G8" s="27" t="s">
        <v>13</v>
      </c>
      <c r="H8" s="28"/>
      <c r="I8" s="26"/>
      <c r="J8" s="29"/>
      <c r="K8" s="30"/>
      <c r="L8" s="241"/>
      <c r="M8" s="254"/>
      <c r="Q8"/>
    </row>
    <row r="9" spans="1:17" ht="19.5" customHeight="1" thickBot="1" x14ac:dyDescent="0.25">
      <c r="A9" s="23">
        <v>2025</v>
      </c>
      <c r="B9" s="24">
        <f t="shared" si="0"/>
        <v>3</v>
      </c>
      <c r="C9" s="23">
        <v>327</v>
      </c>
      <c r="D9" s="25"/>
      <c r="E9" s="26"/>
      <c r="F9" s="23">
        <v>0</v>
      </c>
      <c r="G9" s="27" t="s">
        <v>13</v>
      </c>
      <c r="H9" s="28"/>
      <c r="I9" s="26"/>
      <c r="J9" s="29"/>
      <c r="K9" s="30"/>
      <c r="L9" s="241"/>
      <c r="M9" s="254"/>
      <c r="Q9"/>
    </row>
    <row r="10" spans="1:17" ht="19.5" customHeight="1" thickBot="1" x14ac:dyDescent="0.25">
      <c r="A10" s="23">
        <v>2025</v>
      </c>
      <c r="B10" s="24">
        <f t="shared" si="0"/>
        <v>3</v>
      </c>
      <c r="C10" s="23">
        <v>328</v>
      </c>
      <c r="D10" s="25"/>
      <c r="E10" s="26"/>
      <c r="F10" s="23">
        <v>0</v>
      </c>
      <c r="G10" s="27" t="s">
        <v>13</v>
      </c>
      <c r="H10" s="28"/>
      <c r="I10" s="26"/>
      <c r="J10" s="29"/>
      <c r="K10" s="30"/>
      <c r="L10" s="241"/>
      <c r="M10" s="254"/>
      <c r="Q10"/>
    </row>
    <row r="11" spans="1:17" ht="19.5" customHeight="1" thickBot="1" x14ac:dyDescent="0.25">
      <c r="A11" s="23">
        <v>2025</v>
      </c>
      <c r="B11" s="24">
        <f t="shared" si="0"/>
        <v>3</v>
      </c>
      <c r="C11" s="23">
        <v>329</v>
      </c>
      <c r="D11" s="25"/>
      <c r="E11" s="26"/>
      <c r="F11" s="23">
        <v>0</v>
      </c>
      <c r="G11" s="27" t="s">
        <v>13</v>
      </c>
      <c r="H11" s="28"/>
      <c r="I11" s="26"/>
      <c r="J11" s="29"/>
      <c r="K11" s="30"/>
      <c r="L11" s="241"/>
      <c r="M11" s="254"/>
      <c r="Q11"/>
    </row>
    <row r="12" spans="1:17" ht="19.5" customHeight="1" thickBot="1" x14ac:dyDescent="0.25">
      <c r="A12" s="23">
        <v>2025</v>
      </c>
      <c r="B12" s="24">
        <f t="shared" si="0"/>
        <v>3</v>
      </c>
      <c r="C12" s="23">
        <v>330</v>
      </c>
      <c r="D12" s="25">
        <v>45761</v>
      </c>
      <c r="E12" s="26">
        <v>36</v>
      </c>
      <c r="F12" s="23">
        <v>3</v>
      </c>
      <c r="G12" s="27" t="s">
        <v>21</v>
      </c>
      <c r="H12" s="28">
        <v>1</v>
      </c>
      <c r="I12" s="26" t="s">
        <v>26</v>
      </c>
      <c r="J12" s="29">
        <v>78</v>
      </c>
      <c r="K12" s="30">
        <v>78</v>
      </c>
      <c r="L12" s="241">
        <v>78</v>
      </c>
      <c r="M12" s="254"/>
      <c r="Q12"/>
    </row>
    <row r="13" spans="1:17" ht="19.5" customHeight="1" thickBot="1" x14ac:dyDescent="0.3">
      <c r="A13" s="224">
        <v>2025</v>
      </c>
      <c r="B13" s="225">
        <f t="shared" si="0"/>
        <v>3</v>
      </c>
      <c r="C13" s="224">
        <v>335</v>
      </c>
      <c r="D13" s="226"/>
      <c r="E13" s="227"/>
      <c r="F13" s="224">
        <v>0</v>
      </c>
      <c r="G13" s="228" t="s">
        <v>32</v>
      </c>
      <c r="H13" s="229"/>
      <c r="I13" s="227"/>
      <c r="J13" s="230"/>
      <c r="K13" s="231"/>
      <c r="L13" s="249"/>
      <c r="M13" s="254"/>
      <c r="Q13"/>
    </row>
    <row r="14" spans="1:17" ht="19.5" customHeight="1" thickBot="1" x14ac:dyDescent="0.25">
      <c r="A14" s="23">
        <v>2025</v>
      </c>
      <c r="B14" s="24">
        <f t="shared" si="0"/>
        <v>3</v>
      </c>
      <c r="C14" s="23">
        <v>336</v>
      </c>
      <c r="D14" s="25"/>
      <c r="E14" s="26"/>
      <c r="F14" s="23">
        <v>0</v>
      </c>
      <c r="G14" s="27" t="s">
        <v>13</v>
      </c>
      <c r="H14" s="28"/>
      <c r="I14" s="26"/>
      <c r="J14" s="29"/>
      <c r="K14" s="30"/>
      <c r="L14" s="241"/>
      <c r="M14" s="254"/>
      <c r="Q14"/>
    </row>
    <row r="15" spans="1:17" ht="19.5" customHeight="1" thickBot="1" x14ac:dyDescent="0.25">
      <c r="A15" s="32">
        <v>2025</v>
      </c>
      <c r="B15" s="24">
        <f t="shared" si="0"/>
        <v>3</v>
      </c>
      <c r="C15" s="32">
        <v>338</v>
      </c>
      <c r="D15" s="33"/>
      <c r="E15" s="34"/>
      <c r="F15" s="32">
        <v>0</v>
      </c>
      <c r="G15" s="27" t="s">
        <v>13</v>
      </c>
      <c r="H15" s="35"/>
      <c r="I15" s="34"/>
      <c r="J15" s="36"/>
      <c r="K15" s="37"/>
      <c r="L15" s="242"/>
      <c r="M15" s="254"/>
      <c r="Q15"/>
    </row>
    <row r="16" spans="1:17" ht="19.5" customHeight="1" thickBot="1" x14ac:dyDescent="0.25">
      <c r="A16" s="39">
        <v>2025</v>
      </c>
      <c r="B16" s="40">
        <f>B3</f>
        <v>3</v>
      </c>
      <c r="C16" s="39">
        <v>340</v>
      </c>
      <c r="D16" s="41"/>
      <c r="E16" s="42"/>
      <c r="F16" s="39">
        <v>0</v>
      </c>
      <c r="G16" s="39" t="s">
        <v>13</v>
      </c>
      <c r="H16" s="43"/>
      <c r="I16" s="43"/>
      <c r="J16" s="44"/>
      <c r="K16" s="45"/>
      <c r="L16" s="46"/>
      <c r="M16" s="255" t="s">
        <v>16</v>
      </c>
      <c r="Q16"/>
    </row>
    <row r="17" spans="1:23" ht="19.5" customHeight="1" thickBot="1" x14ac:dyDescent="0.25">
      <c r="A17" s="47">
        <v>2025</v>
      </c>
      <c r="B17" s="47">
        <f>B3</f>
        <v>3</v>
      </c>
      <c r="C17" s="48">
        <v>342</v>
      </c>
      <c r="D17" s="49"/>
      <c r="E17" s="50"/>
      <c r="F17" s="48">
        <v>0</v>
      </c>
      <c r="G17" s="48" t="s">
        <v>13</v>
      </c>
      <c r="H17" s="51"/>
      <c r="I17" s="51"/>
      <c r="J17" s="52"/>
      <c r="K17" s="53"/>
      <c r="L17" s="54"/>
      <c r="M17" s="255"/>
      <c r="Q17"/>
    </row>
    <row r="18" spans="1:23" ht="19.5" customHeight="1" thickBot="1" x14ac:dyDescent="0.25">
      <c r="A18" s="47">
        <v>2025</v>
      </c>
      <c r="B18" s="47">
        <f>B3</f>
        <v>3</v>
      </c>
      <c r="C18" s="48">
        <v>343</v>
      </c>
      <c r="D18" s="49"/>
      <c r="E18" s="50"/>
      <c r="F18" s="48">
        <v>0</v>
      </c>
      <c r="G18" s="48" t="s">
        <v>13</v>
      </c>
      <c r="H18" s="51"/>
      <c r="I18" s="51"/>
      <c r="J18" s="52"/>
      <c r="K18" s="53"/>
      <c r="L18" s="54"/>
      <c r="M18" s="255"/>
      <c r="Q18"/>
    </row>
    <row r="19" spans="1:23" ht="19.5" customHeight="1" thickBot="1" x14ac:dyDescent="0.25">
      <c r="A19" s="47">
        <v>2025</v>
      </c>
      <c r="B19" s="47">
        <f>B4</f>
        <v>3</v>
      </c>
      <c r="C19" s="48">
        <v>344</v>
      </c>
      <c r="D19" s="49"/>
      <c r="E19" s="50"/>
      <c r="F19" s="48">
        <v>0</v>
      </c>
      <c r="G19" s="48" t="s">
        <v>13</v>
      </c>
      <c r="H19" s="51"/>
      <c r="I19" s="51"/>
      <c r="J19" s="52"/>
      <c r="K19" s="53"/>
      <c r="L19" s="54"/>
      <c r="M19" s="255"/>
      <c r="N19" s="7"/>
      <c r="O19" s="7"/>
      <c r="W19"/>
    </row>
    <row r="20" spans="1:23" ht="19.5" customHeight="1" thickBot="1" x14ac:dyDescent="0.25">
      <c r="A20" s="47">
        <v>2025</v>
      </c>
      <c r="B20" s="47">
        <f>B5</f>
        <v>3</v>
      </c>
      <c r="C20" s="48">
        <v>345</v>
      </c>
      <c r="D20" s="49"/>
      <c r="E20" s="50"/>
      <c r="F20" s="48">
        <v>0</v>
      </c>
      <c r="G20" s="48" t="s">
        <v>13</v>
      </c>
      <c r="H20" s="51"/>
      <c r="I20" s="51"/>
      <c r="J20" s="52"/>
      <c r="K20" s="53"/>
      <c r="L20" s="54"/>
      <c r="M20" s="255"/>
      <c r="N20" s="7"/>
      <c r="O20" s="7"/>
      <c r="W20"/>
    </row>
    <row r="21" spans="1:23" ht="19.5" customHeight="1" thickBot="1" x14ac:dyDescent="0.25">
      <c r="A21" s="55">
        <v>2025</v>
      </c>
      <c r="B21" s="56">
        <f>B6</f>
        <v>3</v>
      </c>
      <c r="C21" s="57">
        <v>346</v>
      </c>
      <c r="D21" s="58"/>
      <c r="E21" s="59"/>
      <c r="F21" s="57">
        <v>0</v>
      </c>
      <c r="G21" s="57" t="s">
        <v>13</v>
      </c>
      <c r="H21" s="60"/>
      <c r="I21" s="60"/>
      <c r="J21" s="61"/>
      <c r="K21" s="62"/>
      <c r="L21" s="63"/>
      <c r="M21" s="255"/>
      <c r="N21" s="7"/>
      <c r="O21" s="7"/>
      <c r="W21"/>
    </row>
    <row r="22" spans="1:23" ht="19.5" customHeight="1" thickBot="1" x14ac:dyDescent="0.25">
      <c r="A22" s="64">
        <v>2025</v>
      </c>
      <c r="B22" s="65">
        <f>B3</f>
        <v>3</v>
      </c>
      <c r="C22" s="64">
        <v>401</v>
      </c>
      <c r="D22" s="66"/>
      <c r="E22" s="67"/>
      <c r="F22" s="64">
        <v>0</v>
      </c>
      <c r="G22" s="64" t="s">
        <v>13</v>
      </c>
      <c r="H22" s="68"/>
      <c r="I22" s="68"/>
      <c r="J22" s="69"/>
      <c r="K22" s="70"/>
      <c r="L22" s="71"/>
      <c r="M22" s="259" t="s">
        <v>17</v>
      </c>
      <c r="N22" s="7"/>
      <c r="O22" s="7"/>
      <c r="W22"/>
    </row>
    <row r="23" spans="1:23" ht="19.5" customHeight="1" thickBot="1" x14ac:dyDescent="0.25">
      <c r="A23" s="64">
        <v>2025</v>
      </c>
      <c r="B23" s="72">
        <f>B3</f>
        <v>3</v>
      </c>
      <c r="C23" s="73">
        <v>404</v>
      </c>
      <c r="D23" s="74"/>
      <c r="E23" s="67"/>
      <c r="F23" s="64">
        <v>0</v>
      </c>
      <c r="G23" s="73" t="s">
        <v>13</v>
      </c>
      <c r="H23" s="75"/>
      <c r="I23" s="75"/>
      <c r="J23" s="76"/>
      <c r="K23" s="77"/>
      <c r="L23" s="78"/>
      <c r="M23" s="259"/>
      <c r="N23" s="7"/>
      <c r="O23" s="7"/>
      <c r="W23"/>
    </row>
    <row r="24" spans="1:23" ht="19.5" customHeight="1" thickBot="1" x14ac:dyDescent="0.25">
      <c r="A24" s="79">
        <v>2025</v>
      </c>
      <c r="B24" s="79">
        <f>B3</f>
        <v>3</v>
      </c>
      <c r="C24" s="80">
        <v>405</v>
      </c>
      <c r="D24" s="81"/>
      <c r="E24" s="82"/>
      <c r="F24" s="83">
        <v>0</v>
      </c>
      <c r="G24" s="80" t="s">
        <v>13</v>
      </c>
      <c r="H24" s="82"/>
      <c r="I24" s="82"/>
      <c r="J24" s="84"/>
      <c r="K24" s="85"/>
      <c r="L24" s="86"/>
      <c r="M24" s="259"/>
      <c r="N24" s="7"/>
      <c r="O24" s="7"/>
      <c r="W24"/>
    </row>
    <row r="25" spans="1:23" ht="19.5" customHeight="1" thickBot="1" x14ac:dyDescent="0.25">
      <c r="A25" s="87">
        <v>2025</v>
      </c>
      <c r="B25" s="87">
        <f>B3</f>
        <v>3</v>
      </c>
      <c r="C25" s="88">
        <v>411</v>
      </c>
      <c r="D25" s="89"/>
      <c r="E25" s="90"/>
      <c r="F25" s="91">
        <v>0</v>
      </c>
      <c r="G25" s="88" t="s">
        <v>13</v>
      </c>
      <c r="H25" s="90"/>
      <c r="I25" s="90"/>
      <c r="J25" s="92"/>
      <c r="K25" s="93"/>
      <c r="L25" s="94"/>
      <c r="M25" s="258" t="s">
        <v>19</v>
      </c>
      <c r="N25" s="7"/>
      <c r="O25" s="7"/>
      <c r="W25"/>
    </row>
    <row r="26" spans="1:23" ht="19.5" customHeight="1" thickBot="1" x14ac:dyDescent="0.25">
      <c r="A26" s="95">
        <v>2025</v>
      </c>
      <c r="B26" s="95">
        <f>B3</f>
        <v>3</v>
      </c>
      <c r="C26" s="96">
        <v>418</v>
      </c>
      <c r="D26" s="97"/>
      <c r="E26" s="98"/>
      <c r="F26" s="99">
        <v>0</v>
      </c>
      <c r="G26" s="96" t="s">
        <v>13</v>
      </c>
      <c r="H26" s="98"/>
      <c r="I26" s="98"/>
      <c r="J26" s="100"/>
      <c r="K26" s="101"/>
      <c r="L26" s="102"/>
      <c r="M26" s="258"/>
      <c r="N26" s="7"/>
      <c r="O26" s="7"/>
      <c r="W26"/>
    </row>
    <row r="27" spans="1:23" ht="19.5" customHeight="1" thickBot="1" x14ac:dyDescent="0.25">
      <c r="A27" s="95">
        <v>2025</v>
      </c>
      <c r="B27" s="95">
        <f>B3</f>
        <v>3</v>
      </c>
      <c r="C27" s="96">
        <v>501</v>
      </c>
      <c r="D27" s="103"/>
      <c r="E27" s="104"/>
      <c r="F27" s="99">
        <v>0</v>
      </c>
      <c r="G27" s="96" t="s">
        <v>13</v>
      </c>
      <c r="H27" s="98"/>
      <c r="I27" s="98"/>
      <c r="J27" s="100"/>
      <c r="K27" s="101"/>
      <c r="L27" s="102"/>
      <c r="M27" s="258"/>
      <c r="N27" s="7"/>
      <c r="O27" s="7"/>
      <c r="W27"/>
    </row>
    <row r="28" spans="1:23" ht="19.5" customHeight="1" thickBot="1" x14ac:dyDescent="0.25">
      <c r="A28" s="95">
        <v>2025</v>
      </c>
      <c r="B28" s="95">
        <f>B3</f>
        <v>3</v>
      </c>
      <c r="C28" s="96">
        <v>504</v>
      </c>
      <c r="D28" s="97"/>
      <c r="E28" s="98"/>
      <c r="F28" s="99">
        <v>0</v>
      </c>
      <c r="G28" s="96" t="s">
        <v>13</v>
      </c>
      <c r="H28" s="98"/>
      <c r="I28" s="98"/>
      <c r="J28" s="100"/>
      <c r="K28" s="101"/>
      <c r="L28" s="102"/>
      <c r="M28" s="258"/>
      <c r="N28" s="7"/>
      <c r="O28" s="7"/>
      <c r="W28"/>
    </row>
    <row r="29" spans="1:23" ht="19.5" customHeight="1" thickBot="1" x14ac:dyDescent="0.25">
      <c r="A29" s="95">
        <v>2025</v>
      </c>
      <c r="B29" s="95">
        <f>B3</f>
        <v>3</v>
      </c>
      <c r="C29" s="96">
        <v>519</v>
      </c>
      <c r="D29" s="97"/>
      <c r="E29" s="98"/>
      <c r="F29" s="99">
        <v>0</v>
      </c>
      <c r="G29" s="96" t="s">
        <v>13</v>
      </c>
      <c r="H29" s="98"/>
      <c r="I29" s="98"/>
      <c r="J29" s="100"/>
      <c r="K29" s="101"/>
      <c r="L29" s="102"/>
      <c r="M29" s="258"/>
      <c r="N29" s="7"/>
      <c r="O29" s="7"/>
      <c r="W29"/>
    </row>
    <row r="30" spans="1:23" ht="19.5" customHeight="1" thickBot="1" x14ac:dyDescent="0.25">
      <c r="A30" s="95">
        <v>2025</v>
      </c>
      <c r="B30" s="95">
        <f>B3</f>
        <v>3</v>
      </c>
      <c r="C30" s="96">
        <v>602</v>
      </c>
      <c r="D30" s="103"/>
      <c r="E30" s="104"/>
      <c r="F30" s="99">
        <v>0</v>
      </c>
      <c r="G30" s="96" t="s">
        <v>13</v>
      </c>
      <c r="H30" s="98"/>
      <c r="I30" s="98"/>
      <c r="J30" s="100"/>
      <c r="K30" s="101"/>
      <c r="L30" s="102"/>
      <c r="M30" s="258"/>
      <c r="N30" s="7"/>
      <c r="O30" s="7"/>
      <c r="W30"/>
    </row>
    <row r="31" spans="1:23" ht="19.5" customHeight="1" thickBot="1" x14ac:dyDescent="0.25">
      <c r="A31" s="95">
        <v>2025</v>
      </c>
      <c r="B31" s="95">
        <f>B3</f>
        <v>3</v>
      </c>
      <c r="C31" s="96">
        <v>606</v>
      </c>
      <c r="D31" s="97"/>
      <c r="E31" s="98"/>
      <c r="F31" s="99">
        <v>0</v>
      </c>
      <c r="G31" s="96" t="s">
        <v>13</v>
      </c>
      <c r="H31" s="98"/>
      <c r="I31" s="98"/>
      <c r="J31" s="100"/>
      <c r="K31" s="101"/>
      <c r="L31" s="102"/>
      <c r="M31" s="258"/>
      <c r="N31" s="7"/>
      <c r="O31" s="7"/>
      <c r="W31"/>
    </row>
    <row r="32" spans="1:23" ht="19.5" customHeight="1" thickBot="1" x14ac:dyDescent="0.25">
      <c r="A32" s="95">
        <v>2025</v>
      </c>
      <c r="B32" s="95">
        <f>B3</f>
        <v>3</v>
      </c>
      <c r="C32" s="96">
        <v>609</v>
      </c>
      <c r="D32" s="97">
        <v>45763</v>
      </c>
      <c r="E32" s="98">
        <v>29</v>
      </c>
      <c r="F32" s="99">
        <v>3</v>
      </c>
      <c r="G32" s="96" t="s">
        <v>21</v>
      </c>
      <c r="H32" s="98">
        <v>3</v>
      </c>
      <c r="I32" s="98" t="s">
        <v>26</v>
      </c>
      <c r="J32" s="100">
        <v>13</v>
      </c>
      <c r="K32" s="101">
        <v>18</v>
      </c>
      <c r="L32" s="102">
        <v>15.3333333333333</v>
      </c>
      <c r="M32" s="258"/>
      <c r="N32" s="7"/>
      <c r="O32" s="7"/>
      <c r="W32"/>
    </row>
    <row r="33" spans="1:23" ht="19.5" customHeight="1" thickBot="1" x14ac:dyDescent="0.25">
      <c r="A33" s="105">
        <v>2025</v>
      </c>
      <c r="B33" s="106">
        <f>B3</f>
        <v>3</v>
      </c>
      <c r="C33" s="107">
        <v>610</v>
      </c>
      <c r="D33" s="108"/>
      <c r="E33" s="109"/>
      <c r="F33" s="110">
        <v>0</v>
      </c>
      <c r="G33" s="107" t="s">
        <v>13</v>
      </c>
      <c r="H33" s="111"/>
      <c r="I33" s="111"/>
      <c r="J33" s="112"/>
      <c r="K33" s="113"/>
      <c r="L33" s="114"/>
      <c r="M33" s="258"/>
      <c r="N33" s="7"/>
      <c r="O33" s="7"/>
      <c r="W33"/>
    </row>
    <row r="34" spans="1:23" ht="19.5" customHeight="1" thickBot="1" x14ac:dyDescent="0.25">
      <c r="A34" s="115">
        <v>2025</v>
      </c>
      <c r="B34" s="116">
        <f>B3</f>
        <v>3</v>
      </c>
      <c r="C34" s="117">
        <v>508</v>
      </c>
      <c r="D34" s="118"/>
      <c r="E34" s="119"/>
      <c r="F34" s="120">
        <v>0</v>
      </c>
      <c r="G34" s="121" t="s">
        <v>13</v>
      </c>
      <c r="H34" s="121"/>
      <c r="I34" s="121"/>
      <c r="J34" s="122"/>
      <c r="K34" s="123"/>
      <c r="L34" s="124"/>
      <c r="M34" s="256" t="s">
        <v>6</v>
      </c>
      <c r="N34" s="7"/>
      <c r="O34" s="7"/>
      <c r="W34"/>
    </row>
    <row r="35" spans="1:23" ht="19.5" customHeight="1" thickBot="1" x14ac:dyDescent="0.25">
      <c r="A35" s="116">
        <v>2025</v>
      </c>
      <c r="B35" s="116">
        <f>B3</f>
        <v>3</v>
      </c>
      <c r="C35" s="125">
        <v>513</v>
      </c>
      <c r="D35" s="126"/>
      <c r="E35" s="127"/>
      <c r="F35" s="128">
        <v>0</v>
      </c>
      <c r="G35" s="129" t="s">
        <v>13</v>
      </c>
      <c r="H35" s="129"/>
      <c r="I35" s="129"/>
      <c r="J35" s="130"/>
      <c r="K35" s="131"/>
      <c r="L35" s="132"/>
      <c r="M35" s="256"/>
      <c r="N35" s="7"/>
      <c r="O35" s="7"/>
      <c r="W35"/>
    </row>
    <row r="36" spans="1:23" ht="19.5" customHeight="1" thickBot="1" x14ac:dyDescent="0.25">
      <c r="A36" s="116">
        <v>2025</v>
      </c>
      <c r="B36" s="116">
        <f>B3</f>
        <v>3</v>
      </c>
      <c r="C36" s="125">
        <v>520</v>
      </c>
      <c r="D36" s="126"/>
      <c r="E36" s="127"/>
      <c r="F36" s="128">
        <v>0</v>
      </c>
      <c r="G36" s="129" t="s">
        <v>13</v>
      </c>
      <c r="H36" s="129"/>
      <c r="I36" s="129"/>
      <c r="J36" s="130"/>
      <c r="K36" s="131"/>
      <c r="L36" s="132"/>
      <c r="M36" s="256"/>
      <c r="N36" s="7"/>
      <c r="O36" s="7"/>
      <c r="W36"/>
    </row>
    <row r="37" spans="1:23" ht="19.5" customHeight="1" thickBot="1" x14ac:dyDescent="0.25">
      <c r="A37" s="116">
        <v>2025</v>
      </c>
      <c r="B37" s="116">
        <f>B3</f>
        <v>3</v>
      </c>
      <c r="C37" s="125">
        <v>801</v>
      </c>
      <c r="D37" s="126">
        <v>45765</v>
      </c>
      <c r="E37" s="127">
        <v>97</v>
      </c>
      <c r="F37" s="128">
        <v>3</v>
      </c>
      <c r="G37" s="129" t="s">
        <v>21</v>
      </c>
      <c r="H37" s="129">
        <v>61</v>
      </c>
      <c r="I37" s="129" t="s">
        <v>26</v>
      </c>
      <c r="J37" s="130">
        <v>8</v>
      </c>
      <c r="K37" s="131">
        <v>19</v>
      </c>
      <c r="L37" s="132"/>
      <c r="M37" s="256"/>
      <c r="N37" s="7"/>
      <c r="O37" s="7"/>
      <c r="W37"/>
    </row>
    <row r="38" spans="1:23" ht="19.5" customHeight="1" thickBot="1" x14ac:dyDescent="0.25">
      <c r="A38" s="116">
        <v>2025</v>
      </c>
      <c r="B38" s="133">
        <f>B3</f>
        <v>3</v>
      </c>
      <c r="C38" s="134">
        <v>804</v>
      </c>
      <c r="D38" s="135">
        <v>45765</v>
      </c>
      <c r="E38" s="136">
        <v>80</v>
      </c>
      <c r="F38" s="137">
        <v>3</v>
      </c>
      <c r="G38" s="138" t="s">
        <v>22</v>
      </c>
      <c r="H38" s="138"/>
      <c r="I38" s="138" t="s">
        <v>26</v>
      </c>
      <c r="J38" s="139"/>
      <c r="K38" s="140"/>
      <c r="L38" s="141"/>
      <c r="M38" s="256"/>
      <c r="N38" s="7"/>
      <c r="O38" s="7"/>
      <c r="W38"/>
    </row>
    <row r="39" spans="1:23" ht="19.5" customHeight="1" x14ac:dyDescent="0.2">
      <c r="A39" s="142">
        <v>2025</v>
      </c>
      <c r="B39" s="142">
        <f>B3</f>
        <v>3</v>
      </c>
      <c r="C39" s="143">
        <v>703</v>
      </c>
      <c r="D39" s="144"/>
      <c r="E39" s="145"/>
      <c r="F39" s="146">
        <v>0</v>
      </c>
      <c r="G39" s="147" t="s">
        <v>13</v>
      </c>
      <c r="H39" s="148"/>
      <c r="I39" s="148"/>
      <c r="J39" s="149"/>
      <c r="K39" s="150"/>
      <c r="L39" s="151"/>
      <c r="M39" s="260" t="s">
        <v>7</v>
      </c>
      <c r="N39" s="7"/>
      <c r="O39" s="7"/>
      <c r="W39"/>
    </row>
    <row r="40" spans="1:23" ht="19.5" customHeight="1" x14ac:dyDescent="0.2">
      <c r="A40" s="152">
        <v>2025</v>
      </c>
      <c r="B40" s="152">
        <f>B3</f>
        <v>3</v>
      </c>
      <c r="C40" s="153">
        <v>704</v>
      </c>
      <c r="D40" s="154"/>
      <c r="E40" s="155"/>
      <c r="F40" s="147">
        <v>0</v>
      </c>
      <c r="G40" s="147" t="s">
        <v>13</v>
      </c>
      <c r="H40" s="156"/>
      <c r="I40" s="156"/>
      <c r="J40" s="157"/>
      <c r="K40" s="158"/>
      <c r="L40" s="159"/>
      <c r="M40" s="261"/>
      <c r="N40" s="7"/>
      <c r="O40" s="7"/>
      <c r="W40"/>
    </row>
    <row r="41" spans="1:23" ht="19.5" customHeight="1" x14ac:dyDescent="0.2">
      <c r="A41" s="152">
        <v>2025</v>
      </c>
      <c r="B41" s="152">
        <f>B3</f>
        <v>3</v>
      </c>
      <c r="C41" s="153">
        <v>705</v>
      </c>
      <c r="D41" s="154">
        <v>45763</v>
      </c>
      <c r="E41" s="155">
        <v>77</v>
      </c>
      <c r="F41" s="147">
        <v>3</v>
      </c>
      <c r="G41" s="147" t="s">
        <v>21</v>
      </c>
      <c r="H41" s="156">
        <v>2</v>
      </c>
      <c r="I41" s="156" t="s">
        <v>26</v>
      </c>
      <c r="J41" s="157">
        <v>10</v>
      </c>
      <c r="K41" s="158">
        <v>10</v>
      </c>
      <c r="L41" s="159">
        <v>10</v>
      </c>
      <c r="M41" s="261"/>
      <c r="N41" s="7"/>
      <c r="O41" s="7"/>
      <c r="W41"/>
    </row>
    <row r="42" spans="1:23" ht="19.5" customHeight="1" x14ac:dyDescent="0.2">
      <c r="A42" s="152">
        <v>2025</v>
      </c>
      <c r="B42" s="152">
        <f>B3</f>
        <v>3</v>
      </c>
      <c r="C42" s="153">
        <v>706</v>
      </c>
      <c r="D42" s="154"/>
      <c r="E42" s="155"/>
      <c r="F42" s="147">
        <v>0</v>
      </c>
      <c r="G42" s="147" t="s">
        <v>13</v>
      </c>
      <c r="H42" s="156"/>
      <c r="I42" s="156"/>
      <c r="J42" s="157"/>
      <c r="K42" s="158"/>
      <c r="L42" s="159"/>
      <c r="M42" s="261"/>
      <c r="N42" s="7"/>
      <c r="O42" s="7"/>
      <c r="W42"/>
    </row>
    <row r="43" spans="1:23" ht="19.5" customHeight="1" x14ac:dyDescent="0.25">
      <c r="A43" s="152">
        <v>2025</v>
      </c>
      <c r="B43" s="152">
        <f>B3</f>
        <v>3</v>
      </c>
      <c r="C43" s="153" t="s">
        <v>41</v>
      </c>
      <c r="D43" s="154">
        <v>45763</v>
      </c>
      <c r="E43" s="155">
        <v>64</v>
      </c>
      <c r="F43" s="147">
        <v>1</v>
      </c>
      <c r="G43" s="147" t="s">
        <v>22</v>
      </c>
      <c r="H43" s="156"/>
      <c r="I43" s="156" t="s">
        <v>23</v>
      </c>
      <c r="J43" s="157"/>
      <c r="K43" s="158"/>
      <c r="L43" s="159"/>
      <c r="M43" s="261"/>
      <c r="N43" s="7"/>
      <c r="O43" s="7"/>
      <c r="W43"/>
    </row>
    <row r="44" spans="1:23" ht="19.5" customHeight="1" x14ac:dyDescent="0.25">
      <c r="A44" s="152">
        <v>2025</v>
      </c>
      <c r="B44" s="152">
        <f>B3</f>
        <v>3</v>
      </c>
      <c r="C44" s="153" t="s">
        <v>42</v>
      </c>
      <c r="D44" s="154">
        <v>45763</v>
      </c>
      <c r="E44" s="155">
        <v>70</v>
      </c>
      <c r="F44" s="147">
        <v>2</v>
      </c>
      <c r="G44" s="147" t="s">
        <v>22</v>
      </c>
      <c r="H44" s="156"/>
      <c r="I44" s="156" t="s">
        <v>23</v>
      </c>
      <c r="J44" s="157"/>
      <c r="K44" s="158"/>
      <c r="L44" s="159"/>
      <c r="M44" s="261"/>
      <c r="N44" s="7"/>
      <c r="O44" s="7"/>
      <c r="W44"/>
    </row>
    <row r="45" spans="1:23" ht="19.5" customHeight="1" x14ac:dyDescent="0.2">
      <c r="A45" s="160">
        <v>2025</v>
      </c>
      <c r="B45" s="160">
        <f>B3</f>
        <v>3</v>
      </c>
      <c r="C45" s="161">
        <v>716</v>
      </c>
      <c r="D45" s="162">
        <v>45761</v>
      </c>
      <c r="E45" s="163">
        <v>97</v>
      </c>
      <c r="F45" s="164">
        <v>3</v>
      </c>
      <c r="G45" s="165" t="s">
        <v>22</v>
      </c>
      <c r="H45" s="163"/>
      <c r="I45" s="163" t="s">
        <v>26</v>
      </c>
      <c r="J45" s="166"/>
      <c r="K45" s="167"/>
      <c r="L45" s="168"/>
      <c r="M45" s="261"/>
      <c r="N45" s="7"/>
      <c r="O45" s="7"/>
      <c r="W45"/>
    </row>
    <row r="46" spans="1:23" ht="19.5" customHeight="1" x14ac:dyDescent="0.2">
      <c r="A46" s="152">
        <v>2025</v>
      </c>
      <c r="B46" s="152">
        <f>B3</f>
        <v>3</v>
      </c>
      <c r="C46" s="153">
        <v>718</v>
      </c>
      <c r="D46" s="154">
        <v>45761</v>
      </c>
      <c r="E46" s="155">
        <v>130</v>
      </c>
      <c r="F46" s="147">
        <v>3</v>
      </c>
      <c r="G46" s="147" t="s">
        <v>22</v>
      </c>
      <c r="H46" s="155"/>
      <c r="I46" s="156" t="s">
        <v>26</v>
      </c>
      <c r="J46" s="169"/>
      <c r="K46" s="170"/>
      <c r="L46" s="171"/>
      <c r="M46" s="261"/>
      <c r="N46" s="7"/>
      <c r="O46" s="7"/>
      <c r="W46"/>
    </row>
    <row r="47" spans="1:23" ht="19.5" customHeight="1" x14ac:dyDescent="0.2">
      <c r="A47" s="152">
        <v>2025</v>
      </c>
      <c r="B47" s="152">
        <f>B3</f>
        <v>3</v>
      </c>
      <c r="C47" s="153">
        <v>719</v>
      </c>
      <c r="D47" s="154">
        <v>45761</v>
      </c>
      <c r="E47" s="155">
        <v>39</v>
      </c>
      <c r="F47" s="147">
        <v>3</v>
      </c>
      <c r="G47" s="147" t="s">
        <v>22</v>
      </c>
      <c r="H47" s="156"/>
      <c r="I47" s="156" t="s">
        <v>26</v>
      </c>
      <c r="J47" s="157"/>
      <c r="K47" s="158"/>
      <c r="L47" s="159"/>
      <c r="M47" s="261"/>
      <c r="N47" s="7"/>
      <c r="O47" s="7"/>
      <c r="W47"/>
    </row>
    <row r="48" spans="1:23" ht="19.5" customHeight="1" x14ac:dyDescent="0.25">
      <c r="A48" s="152">
        <v>2025</v>
      </c>
      <c r="B48" s="152">
        <f>B3</f>
        <v>3</v>
      </c>
      <c r="C48" s="153" t="s">
        <v>43</v>
      </c>
      <c r="D48" s="154">
        <v>45761</v>
      </c>
      <c r="E48" s="155">
        <v>148</v>
      </c>
      <c r="F48" s="147">
        <v>2</v>
      </c>
      <c r="G48" s="147" t="s">
        <v>22</v>
      </c>
      <c r="H48" s="156"/>
      <c r="I48" s="156" t="s">
        <v>23</v>
      </c>
      <c r="J48" s="157"/>
      <c r="K48" s="158"/>
      <c r="L48" s="159"/>
      <c r="M48" s="261"/>
      <c r="N48" s="7"/>
      <c r="O48" s="7"/>
      <c r="W48"/>
    </row>
    <row r="49" spans="1:23" ht="19.5" customHeight="1" x14ac:dyDescent="0.2">
      <c r="A49" s="152">
        <v>2025</v>
      </c>
      <c r="B49" s="152">
        <f>B3</f>
        <v>3</v>
      </c>
      <c r="C49" s="153">
        <v>723</v>
      </c>
      <c r="D49" s="154">
        <v>45761</v>
      </c>
      <c r="E49" s="155">
        <v>75</v>
      </c>
      <c r="F49" s="147">
        <v>3</v>
      </c>
      <c r="G49" s="147" t="s">
        <v>21</v>
      </c>
      <c r="H49" s="155">
        <v>1</v>
      </c>
      <c r="I49" s="156" t="s">
        <v>26</v>
      </c>
      <c r="J49" s="169">
        <v>5</v>
      </c>
      <c r="K49" s="170">
        <v>5</v>
      </c>
      <c r="L49" s="171">
        <v>5</v>
      </c>
      <c r="M49" s="261"/>
      <c r="N49" s="7"/>
      <c r="O49" s="7"/>
      <c r="W49"/>
    </row>
    <row r="50" spans="1:23" ht="19.5" customHeight="1" x14ac:dyDescent="0.2">
      <c r="A50" s="152">
        <v>2025</v>
      </c>
      <c r="B50" s="152">
        <f>B3</f>
        <v>3</v>
      </c>
      <c r="C50" s="153">
        <v>724</v>
      </c>
      <c r="D50" s="154">
        <v>45761</v>
      </c>
      <c r="E50" s="155">
        <v>72</v>
      </c>
      <c r="F50" s="147">
        <v>2</v>
      </c>
      <c r="G50" s="147" t="s">
        <v>22</v>
      </c>
      <c r="H50" s="156"/>
      <c r="I50" s="156" t="s">
        <v>23</v>
      </c>
      <c r="J50" s="157"/>
      <c r="K50" s="158"/>
      <c r="L50" s="159"/>
      <c r="M50" s="261"/>
      <c r="N50" s="7"/>
      <c r="O50" s="7"/>
      <c r="W50"/>
    </row>
    <row r="51" spans="1:23" ht="19.5" customHeight="1" thickBot="1" x14ac:dyDescent="0.25">
      <c r="A51" s="172">
        <v>2025</v>
      </c>
      <c r="B51" s="172">
        <f>B3</f>
        <v>3</v>
      </c>
      <c r="C51" s="173">
        <v>726</v>
      </c>
      <c r="D51" s="174">
        <v>45761</v>
      </c>
      <c r="E51" s="175">
        <v>70</v>
      </c>
      <c r="F51" s="176">
        <v>3</v>
      </c>
      <c r="G51" s="147" t="s">
        <v>22</v>
      </c>
      <c r="H51" s="177"/>
      <c r="I51" s="177" t="s">
        <v>26</v>
      </c>
      <c r="J51" s="178"/>
      <c r="K51" s="179"/>
      <c r="L51" s="180"/>
      <c r="M51" s="262"/>
      <c r="N51" s="7"/>
      <c r="O51" s="7"/>
      <c r="W51"/>
    </row>
    <row r="52" spans="1:23" ht="19.5" customHeight="1" thickBot="1" x14ac:dyDescent="0.3">
      <c r="A52" s="181">
        <v>2025</v>
      </c>
      <c r="B52" s="181">
        <f>B3</f>
        <v>3</v>
      </c>
      <c r="C52" s="182">
        <v>809</v>
      </c>
      <c r="D52" s="183">
        <v>45761</v>
      </c>
      <c r="E52" s="184">
        <v>82</v>
      </c>
      <c r="F52" s="181">
        <v>3</v>
      </c>
      <c r="G52" s="248" t="s">
        <v>28</v>
      </c>
      <c r="H52" s="185">
        <v>2</v>
      </c>
      <c r="I52" s="185" t="s">
        <v>26</v>
      </c>
      <c r="J52" s="186">
        <v>8</v>
      </c>
      <c r="K52" s="187">
        <v>9</v>
      </c>
      <c r="L52" s="188">
        <v>8.5</v>
      </c>
      <c r="M52" s="257" t="s">
        <v>8</v>
      </c>
      <c r="N52" s="7"/>
      <c r="O52" s="7"/>
      <c r="W52"/>
    </row>
    <row r="53" spans="1:23" ht="19.5" customHeight="1" thickBot="1" x14ac:dyDescent="0.3">
      <c r="A53" s="189">
        <v>2025</v>
      </c>
      <c r="B53" s="189">
        <f>B3</f>
        <v>3</v>
      </c>
      <c r="C53" s="190" t="s">
        <v>29</v>
      </c>
      <c r="D53" s="191">
        <v>45761</v>
      </c>
      <c r="E53" s="192">
        <v>92</v>
      </c>
      <c r="F53" s="189">
        <v>3</v>
      </c>
      <c r="G53" s="190" t="s">
        <v>22</v>
      </c>
      <c r="H53" s="193"/>
      <c r="I53" s="193" t="s">
        <v>26</v>
      </c>
      <c r="J53" s="194"/>
      <c r="K53" s="195"/>
      <c r="L53" s="196"/>
      <c r="M53" s="257"/>
      <c r="N53" s="7"/>
      <c r="O53" s="7"/>
      <c r="W53"/>
    </row>
    <row r="54" spans="1:23" ht="19.5" customHeight="1" thickBot="1" x14ac:dyDescent="0.25">
      <c r="A54" s="197">
        <v>2025</v>
      </c>
      <c r="B54" s="197">
        <f>B3</f>
        <v>3</v>
      </c>
      <c r="C54" s="198">
        <v>815</v>
      </c>
      <c r="D54" s="199">
        <v>45761</v>
      </c>
      <c r="E54" s="200">
        <v>123</v>
      </c>
      <c r="F54" s="197">
        <v>3</v>
      </c>
      <c r="G54" s="201" t="s">
        <v>22</v>
      </c>
      <c r="H54" s="202"/>
      <c r="I54" s="202" t="s">
        <v>26</v>
      </c>
      <c r="J54" s="203"/>
      <c r="K54" s="204"/>
      <c r="L54" s="205"/>
      <c r="M54" s="257"/>
      <c r="N54" s="7"/>
      <c r="O54" s="7"/>
      <c r="W54"/>
    </row>
    <row r="55" spans="1:23" ht="19.5" customHeight="1" thickBot="1" x14ac:dyDescent="0.3">
      <c r="A55" s="197">
        <v>2025</v>
      </c>
      <c r="B55" s="197">
        <f>B3</f>
        <v>3</v>
      </c>
      <c r="C55" s="198" t="s">
        <v>44</v>
      </c>
      <c r="D55" s="206">
        <v>45762</v>
      </c>
      <c r="E55" s="200">
        <v>30</v>
      </c>
      <c r="F55" s="197">
        <v>1</v>
      </c>
      <c r="G55" s="201" t="s">
        <v>22</v>
      </c>
      <c r="H55" s="202"/>
      <c r="I55" s="202" t="s">
        <v>26</v>
      </c>
      <c r="J55" s="203"/>
      <c r="K55" s="204"/>
      <c r="L55" s="205"/>
      <c r="M55" s="257"/>
      <c r="N55" s="7"/>
      <c r="O55" s="7"/>
      <c r="W55"/>
    </row>
    <row r="56" spans="1:23" ht="19.5" customHeight="1" thickBot="1" x14ac:dyDescent="0.3">
      <c r="A56" s="197">
        <v>2025</v>
      </c>
      <c r="B56" s="197">
        <f>B3</f>
        <v>3</v>
      </c>
      <c r="C56" s="198" t="s">
        <v>45</v>
      </c>
      <c r="D56" s="206">
        <v>45762</v>
      </c>
      <c r="E56" s="200">
        <v>110</v>
      </c>
      <c r="F56" s="197">
        <v>3</v>
      </c>
      <c r="G56" s="201" t="s">
        <v>22</v>
      </c>
      <c r="H56" s="202"/>
      <c r="I56" s="202" t="s">
        <v>26</v>
      </c>
      <c r="J56" s="203"/>
      <c r="K56" s="204"/>
      <c r="L56" s="205"/>
      <c r="M56" s="257"/>
      <c r="N56" s="7"/>
      <c r="O56" s="7"/>
      <c r="W56"/>
    </row>
    <row r="57" spans="1:23" ht="19.5" customHeight="1" thickBot="1" x14ac:dyDescent="0.3">
      <c r="A57" s="197">
        <v>2025</v>
      </c>
      <c r="B57" s="197">
        <f>B3</f>
        <v>3</v>
      </c>
      <c r="C57" s="198" t="s">
        <v>33</v>
      </c>
      <c r="D57" s="206">
        <v>45761</v>
      </c>
      <c r="E57" s="200">
        <v>134</v>
      </c>
      <c r="F57" s="197">
        <v>3</v>
      </c>
      <c r="G57" s="201" t="s">
        <v>22</v>
      </c>
      <c r="H57" s="202"/>
      <c r="I57" s="202" t="s">
        <v>26</v>
      </c>
      <c r="J57" s="203"/>
      <c r="K57" s="204"/>
      <c r="L57" s="205"/>
      <c r="M57" s="257"/>
      <c r="N57" s="7"/>
      <c r="O57" s="7"/>
      <c r="W57"/>
    </row>
    <row r="58" spans="1:23" ht="19.5" customHeight="1" thickBot="1" x14ac:dyDescent="0.3">
      <c r="A58" s="197">
        <v>2025</v>
      </c>
      <c r="B58" s="197">
        <f>B3</f>
        <v>3</v>
      </c>
      <c r="C58" s="198" t="s">
        <v>46</v>
      </c>
      <c r="D58" s="206">
        <v>45761</v>
      </c>
      <c r="E58" s="200">
        <v>102</v>
      </c>
      <c r="F58" s="197">
        <v>3</v>
      </c>
      <c r="G58" s="201" t="s">
        <v>22</v>
      </c>
      <c r="H58" s="202"/>
      <c r="I58" s="202" t="s">
        <v>26</v>
      </c>
      <c r="J58" s="203"/>
      <c r="K58" s="204"/>
      <c r="L58" s="205"/>
      <c r="M58" s="257"/>
      <c r="N58" s="7"/>
      <c r="O58" s="7"/>
      <c r="W58"/>
    </row>
    <row r="59" spans="1:23" ht="19.5" customHeight="1" thickBot="1" x14ac:dyDescent="0.25">
      <c r="A59" s="197">
        <v>2025</v>
      </c>
      <c r="B59" s="197">
        <f>B3</f>
        <v>3</v>
      </c>
      <c r="C59" s="198">
        <v>912</v>
      </c>
      <c r="D59" s="206">
        <v>45761</v>
      </c>
      <c r="E59" s="200">
        <v>87</v>
      </c>
      <c r="F59" s="197">
        <v>3</v>
      </c>
      <c r="G59" s="201" t="s">
        <v>22</v>
      </c>
      <c r="H59" s="202"/>
      <c r="I59" s="202" t="s">
        <v>26</v>
      </c>
      <c r="J59" s="203"/>
      <c r="K59" s="204"/>
      <c r="L59" s="205"/>
      <c r="M59" s="257"/>
      <c r="N59" s="7"/>
      <c r="O59" s="7"/>
      <c r="W59"/>
    </row>
    <row r="60" spans="1:23" ht="19.5" customHeight="1" thickBot="1" x14ac:dyDescent="0.3">
      <c r="A60" s="197">
        <v>2025</v>
      </c>
      <c r="B60" s="197">
        <f>B3</f>
        <v>3</v>
      </c>
      <c r="C60" s="198" t="s">
        <v>47</v>
      </c>
      <c r="D60" s="206">
        <v>45762</v>
      </c>
      <c r="E60" s="200">
        <v>176</v>
      </c>
      <c r="F60" s="197">
        <v>3</v>
      </c>
      <c r="G60" s="201" t="s">
        <v>22</v>
      </c>
      <c r="H60" s="202"/>
      <c r="I60" s="202" t="s">
        <v>26</v>
      </c>
      <c r="J60" s="203"/>
      <c r="K60" s="204"/>
      <c r="L60" s="205"/>
      <c r="M60" s="257"/>
      <c r="N60" s="7"/>
      <c r="O60" s="7"/>
      <c r="W60"/>
    </row>
    <row r="61" spans="1:23" ht="19.5" customHeight="1" thickBot="1" x14ac:dyDescent="0.3">
      <c r="A61" s="197">
        <v>2025</v>
      </c>
      <c r="B61" s="197">
        <f>B3</f>
        <v>3</v>
      </c>
      <c r="C61" s="198" t="s">
        <v>34</v>
      </c>
      <c r="D61" s="206">
        <v>45762</v>
      </c>
      <c r="E61" s="200">
        <v>188</v>
      </c>
      <c r="F61" s="197">
        <v>3</v>
      </c>
      <c r="G61" s="201" t="s">
        <v>22</v>
      </c>
      <c r="H61" s="202"/>
      <c r="I61" s="202" t="s">
        <v>26</v>
      </c>
      <c r="J61" s="203"/>
      <c r="K61" s="204"/>
      <c r="L61" s="205"/>
      <c r="M61" s="257"/>
      <c r="N61" s="7"/>
      <c r="O61" s="7"/>
      <c r="W61"/>
    </row>
    <row r="62" spans="1:23" ht="19.5" customHeight="1" thickBot="1" x14ac:dyDescent="0.3">
      <c r="A62" s="197">
        <v>2025</v>
      </c>
      <c r="B62" s="197">
        <f>B3</f>
        <v>3</v>
      </c>
      <c r="C62" s="198" t="s">
        <v>48</v>
      </c>
      <c r="D62" s="206">
        <v>45762</v>
      </c>
      <c r="E62" s="200">
        <v>128</v>
      </c>
      <c r="F62" s="197">
        <v>3</v>
      </c>
      <c r="G62" s="201" t="s">
        <v>22</v>
      </c>
      <c r="H62" s="202"/>
      <c r="I62" s="202" t="s">
        <v>26</v>
      </c>
      <c r="J62" s="203"/>
      <c r="K62" s="204"/>
      <c r="L62" s="205"/>
      <c r="M62" s="257"/>
      <c r="N62" s="7"/>
      <c r="O62" s="7"/>
      <c r="W62"/>
    </row>
    <row r="63" spans="1:23" ht="19.5" customHeight="1" thickBot="1" x14ac:dyDescent="0.25">
      <c r="A63" s="207">
        <v>2025</v>
      </c>
      <c r="B63" s="207">
        <f>B3</f>
        <v>3</v>
      </c>
      <c r="C63" s="208">
        <v>919</v>
      </c>
      <c r="D63" s="209">
        <v>45761</v>
      </c>
      <c r="E63" s="210">
        <v>138</v>
      </c>
      <c r="F63" s="207">
        <v>3</v>
      </c>
      <c r="G63" s="201" t="s">
        <v>22</v>
      </c>
      <c r="H63" s="211"/>
      <c r="I63" s="211" t="s">
        <v>26</v>
      </c>
      <c r="J63" s="212"/>
      <c r="K63" s="213"/>
      <c r="L63" s="214"/>
      <c r="M63" s="257"/>
    </row>
    <row r="64" spans="1:23" ht="19.5" customHeight="1" x14ac:dyDescent="0.25">
      <c r="A64" s="8" t="s">
        <v>36</v>
      </c>
      <c r="B64" s="9"/>
      <c r="C64" s="9"/>
      <c r="D64" s="9"/>
      <c r="E64" s="9"/>
      <c r="F64" s="9"/>
      <c r="G64" s="215"/>
      <c r="H64" s="9"/>
      <c r="I64" s="9"/>
      <c r="J64" s="9"/>
      <c r="K64" s="9"/>
      <c r="L64" s="216"/>
      <c r="M64" s="221"/>
    </row>
    <row r="65" spans="1:13" ht="19.5" customHeight="1" x14ac:dyDescent="0.25">
      <c r="A65" s="8" t="s">
        <v>37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217"/>
      <c r="M65" s="250"/>
    </row>
    <row r="66" spans="1:13" ht="19.5" customHeight="1" x14ac:dyDescent="0.25">
      <c r="A66" s="8" t="s">
        <v>38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217"/>
      <c r="M66" s="221"/>
    </row>
    <row r="67" spans="1:13" ht="15" customHeight="1" x14ac:dyDescent="0.2">
      <c r="A67" s="219" t="s">
        <v>50</v>
      </c>
      <c r="B67" s="220"/>
      <c r="C67" s="220"/>
      <c r="D67" s="10"/>
      <c r="E67" s="10"/>
      <c r="F67" s="10"/>
      <c r="G67" s="220"/>
      <c r="H67" s="220"/>
      <c r="I67" s="220"/>
      <c r="J67" s="220"/>
      <c r="K67" s="220"/>
      <c r="L67" s="220"/>
      <c r="M67" s="251"/>
    </row>
    <row r="68" spans="1:13" ht="15" customHeight="1" x14ac:dyDescent="0.2">
      <c r="H68" s="5"/>
      <c r="M68" s="6"/>
    </row>
    <row r="69" spans="1:13" ht="15" customHeight="1" x14ac:dyDescent="0.2">
      <c r="H69" s="5"/>
      <c r="M69" s="4"/>
    </row>
    <row r="70" spans="1:13" ht="15" customHeight="1" x14ac:dyDescent="0.2">
      <c r="H70" s="5"/>
    </row>
    <row r="71" spans="1:13" ht="15" customHeight="1" x14ac:dyDescent="0.2"/>
    <row r="72" spans="1:13" ht="15" customHeight="1" x14ac:dyDescent="0.2"/>
    <row r="73" spans="1:13" ht="15" customHeight="1" x14ac:dyDescent="0.2"/>
    <row r="74" spans="1:13" ht="15" customHeight="1" x14ac:dyDescent="0.2"/>
    <row r="75" spans="1:13" ht="15" customHeight="1" x14ac:dyDescent="0.2"/>
  </sheetData>
  <mergeCells count="8">
    <mergeCell ref="M39:M51"/>
    <mergeCell ref="M52:M63"/>
    <mergeCell ref="A1:P1"/>
    <mergeCell ref="M3:M15"/>
    <mergeCell ref="M16:M21"/>
    <mergeCell ref="M22:M24"/>
    <mergeCell ref="M25:M33"/>
    <mergeCell ref="M34:M38"/>
  </mergeCells>
  <dataValidations count="2">
    <dataValidation type="list" allowBlank="1" showInputMessage="1" showErrorMessage="1" sqref="I3:I63" xr:uid="{BDEFE466-9D12-4F83-9B71-74AF915F1A41}">
      <formula1>"Preliminary, Complete"</formula1>
    </dataValidation>
    <dataValidation type="list" allowBlank="1" showInputMessage="1" showErrorMessage="1" sqref="G3:G63" xr:uid="{7F1A6BA4-AD54-4FED-8605-010E010D1E58}">
      <formula1>"Not Processed, No Smelt Catch, Not Sampled,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A8EA-E492-43BE-AC41-632772D9695D}">
  <dimension ref="A1:W75"/>
  <sheetViews>
    <sheetView tabSelected="1" workbookViewId="0">
      <selection activeCell="F13" sqref="F13"/>
    </sheetView>
  </sheetViews>
  <sheetFormatPr defaultColWidth="9.140625" defaultRowHeight="12.75" x14ac:dyDescent="0.2"/>
  <cols>
    <col min="1" max="1" width="5.85546875" style="1" customWidth="1"/>
    <col min="2" max="2" width="7.7109375" style="1" customWidth="1"/>
    <col min="3" max="4" width="8.5703125" style="1" customWidth="1"/>
    <col min="5" max="5" width="7.85546875" style="1" customWidth="1"/>
    <col min="6" max="6" width="11.85546875" style="1" customWidth="1"/>
    <col min="7" max="7" width="16.28515625" style="2" customWidth="1"/>
    <col min="8" max="8" width="7" style="1" customWidth="1"/>
    <col min="9" max="9" width="11.85546875" style="1" customWidth="1"/>
    <col min="10" max="10" width="8" style="1" customWidth="1"/>
    <col min="11" max="11" width="8.140625" style="1" customWidth="1"/>
    <col min="12" max="12" width="8" style="3" customWidth="1"/>
    <col min="13" max="13" width="7.7109375" style="1" customWidth="1"/>
    <col min="14" max="14" width="9.140625" style="1"/>
    <col min="15" max="15" width="13.42578125" style="1" customWidth="1"/>
    <col min="16" max="17" width="13.28515625" style="1" customWidth="1"/>
    <col min="18" max="18" width="16.42578125" style="1" customWidth="1"/>
    <col min="19" max="19" width="18.85546875" style="1" customWidth="1"/>
    <col min="20" max="16384" width="9.140625" style="1"/>
  </cols>
  <sheetData>
    <row r="1" spans="1:17" ht="63" customHeight="1" thickBot="1" x14ac:dyDescent="0.25">
      <c r="A1" s="252" t="s">
        <v>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7" ht="35.25" customHeight="1" thickBo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15</v>
      </c>
      <c r="F2" s="11" t="s">
        <v>4</v>
      </c>
      <c r="G2" s="11" t="s">
        <v>12</v>
      </c>
      <c r="H2" s="11" t="s">
        <v>5</v>
      </c>
      <c r="I2" s="11" t="s">
        <v>14</v>
      </c>
      <c r="J2" s="12" t="s">
        <v>9</v>
      </c>
      <c r="K2" s="13" t="s">
        <v>10</v>
      </c>
      <c r="L2" s="14" t="s">
        <v>11</v>
      </c>
      <c r="M2" s="15"/>
    </row>
    <row r="3" spans="1:17" ht="19.5" customHeight="1" thickBot="1" x14ac:dyDescent="0.25">
      <c r="A3" s="16">
        <v>2025</v>
      </c>
      <c r="B3" s="16">
        <v>4</v>
      </c>
      <c r="C3" s="16">
        <v>306</v>
      </c>
      <c r="D3" s="17"/>
      <c r="E3" s="18"/>
      <c r="F3" s="16">
        <v>0</v>
      </c>
      <c r="G3" s="16" t="s">
        <v>13</v>
      </c>
      <c r="H3" s="19"/>
      <c r="I3" s="18"/>
      <c r="J3" s="20"/>
      <c r="K3" s="21"/>
      <c r="L3" s="22"/>
      <c r="M3" s="254" t="s">
        <v>18</v>
      </c>
      <c r="Q3"/>
    </row>
    <row r="4" spans="1:17" ht="19.5" customHeight="1" thickBot="1" x14ac:dyDescent="0.25">
      <c r="A4" s="23">
        <v>2025</v>
      </c>
      <c r="B4" s="24">
        <f t="shared" ref="B4:B15" si="0">B3</f>
        <v>4</v>
      </c>
      <c r="C4" s="23">
        <v>308</v>
      </c>
      <c r="D4" s="25"/>
      <c r="E4" s="26"/>
      <c r="F4" s="23">
        <v>0</v>
      </c>
      <c r="G4" s="27" t="s">
        <v>13</v>
      </c>
      <c r="H4" s="28"/>
      <c r="I4" s="26"/>
      <c r="J4" s="29"/>
      <c r="K4" s="30"/>
      <c r="L4" s="31"/>
      <c r="M4" s="254"/>
      <c r="Q4"/>
    </row>
    <row r="5" spans="1:17" ht="19.5" customHeight="1" thickBot="1" x14ac:dyDescent="0.25">
      <c r="A5" s="23">
        <v>2025</v>
      </c>
      <c r="B5" s="24">
        <f t="shared" si="0"/>
        <v>4</v>
      </c>
      <c r="C5" s="23">
        <v>311</v>
      </c>
      <c r="D5" s="25">
        <v>45776</v>
      </c>
      <c r="E5" s="26">
        <v>40</v>
      </c>
      <c r="F5" s="23">
        <v>3</v>
      </c>
      <c r="G5" s="27" t="s">
        <v>21</v>
      </c>
      <c r="H5" s="28">
        <v>3</v>
      </c>
      <c r="I5" s="26" t="s">
        <v>26</v>
      </c>
      <c r="J5" s="29">
        <v>17</v>
      </c>
      <c r="K5" s="30">
        <v>39</v>
      </c>
      <c r="L5" s="31">
        <v>27.7</v>
      </c>
      <c r="M5" s="254"/>
      <c r="Q5"/>
    </row>
    <row r="6" spans="1:17" ht="19.5" customHeight="1" thickBot="1" x14ac:dyDescent="0.25">
      <c r="A6" s="23">
        <v>2025</v>
      </c>
      <c r="B6" s="24">
        <f t="shared" si="0"/>
        <v>4</v>
      </c>
      <c r="C6" s="23">
        <v>315</v>
      </c>
      <c r="D6" s="25"/>
      <c r="E6" s="26"/>
      <c r="F6" s="23">
        <v>0</v>
      </c>
      <c r="G6" s="27" t="s">
        <v>13</v>
      </c>
      <c r="H6" s="28"/>
      <c r="I6" s="26"/>
      <c r="J6" s="29"/>
      <c r="K6" s="30"/>
      <c r="L6" s="31"/>
      <c r="M6" s="254"/>
      <c r="Q6"/>
    </row>
    <row r="7" spans="1:17" ht="19.5" customHeight="1" thickBot="1" x14ac:dyDescent="0.25">
      <c r="A7" s="23">
        <v>2025</v>
      </c>
      <c r="B7" s="24">
        <f t="shared" si="0"/>
        <v>4</v>
      </c>
      <c r="C7" s="23">
        <v>322</v>
      </c>
      <c r="D7" s="25"/>
      <c r="E7" s="26"/>
      <c r="F7" s="23">
        <v>0</v>
      </c>
      <c r="G7" s="27" t="s">
        <v>13</v>
      </c>
      <c r="H7" s="28"/>
      <c r="I7" s="26"/>
      <c r="J7" s="29"/>
      <c r="K7" s="30"/>
      <c r="L7" s="31"/>
      <c r="M7" s="254"/>
      <c r="Q7"/>
    </row>
    <row r="8" spans="1:17" ht="19.5" customHeight="1" thickBot="1" x14ac:dyDescent="0.25">
      <c r="A8" s="23">
        <v>2025</v>
      </c>
      <c r="B8" s="24">
        <f t="shared" si="0"/>
        <v>4</v>
      </c>
      <c r="C8" s="23">
        <v>323</v>
      </c>
      <c r="D8" s="25">
        <v>45776</v>
      </c>
      <c r="E8" s="26">
        <v>52</v>
      </c>
      <c r="F8" s="23">
        <v>3</v>
      </c>
      <c r="G8" s="27" t="s">
        <v>22</v>
      </c>
      <c r="H8" s="28"/>
      <c r="I8" s="26" t="s">
        <v>26</v>
      </c>
      <c r="J8" s="29"/>
      <c r="K8" s="30"/>
      <c r="L8" s="31"/>
      <c r="M8" s="254"/>
      <c r="Q8"/>
    </row>
    <row r="9" spans="1:17" ht="19.5" customHeight="1" thickBot="1" x14ac:dyDescent="0.25">
      <c r="A9" s="23">
        <v>2025</v>
      </c>
      <c r="B9" s="24">
        <f t="shared" si="0"/>
        <v>4</v>
      </c>
      <c r="C9" s="23">
        <v>327</v>
      </c>
      <c r="D9" s="25"/>
      <c r="E9" s="26"/>
      <c r="F9" s="23">
        <v>0</v>
      </c>
      <c r="G9" s="27" t="s">
        <v>13</v>
      </c>
      <c r="H9" s="28"/>
      <c r="I9" s="26"/>
      <c r="J9" s="29"/>
      <c r="K9" s="30"/>
      <c r="L9" s="31"/>
      <c r="M9" s="254"/>
      <c r="Q9"/>
    </row>
    <row r="10" spans="1:17" ht="19.5" customHeight="1" thickBot="1" x14ac:dyDescent="0.25">
      <c r="A10" s="23">
        <v>2025</v>
      </c>
      <c r="B10" s="24">
        <f t="shared" si="0"/>
        <v>4</v>
      </c>
      <c r="C10" s="23">
        <v>328</v>
      </c>
      <c r="D10" s="25"/>
      <c r="E10" s="26"/>
      <c r="F10" s="23">
        <v>0</v>
      </c>
      <c r="G10" s="27" t="s">
        <v>13</v>
      </c>
      <c r="H10" s="28"/>
      <c r="I10" s="26"/>
      <c r="J10" s="29"/>
      <c r="K10" s="30"/>
      <c r="L10" s="31"/>
      <c r="M10" s="254"/>
      <c r="Q10"/>
    </row>
    <row r="11" spans="1:17" ht="19.5" customHeight="1" thickBot="1" x14ac:dyDescent="0.25">
      <c r="A11" s="23">
        <v>2025</v>
      </c>
      <c r="B11" s="24">
        <f t="shared" si="0"/>
        <v>4</v>
      </c>
      <c r="C11" s="23">
        <v>329</v>
      </c>
      <c r="D11" s="25"/>
      <c r="E11" s="26"/>
      <c r="F11" s="23">
        <v>0</v>
      </c>
      <c r="G11" s="27" t="s">
        <v>13</v>
      </c>
      <c r="H11" s="28"/>
      <c r="I11" s="26"/>
      <c r="J11" s="29"/>
      <c r="K11" s="30"/>
      <c r="L11" s="31"/>
      <c r="M11" s="254"/>
      <c r="Q11"/>
    </row>
    <row r="12" spans="1:17" ht="19.5" customHeight="1" thickBot="1" x14ac:dyDescent="0.25">
      <c r="A12" s="23">
        <v>2025</v>
      </c>
      <c r="B12" s="24">
        <f t="shared" si="0"/>
        <v>4</v>
      </c>
      <c r="C12" s="23">
        <v>330</v>
      </c>
      <c r="D12" s="25"/>
      <c r="E12" s="26"/>
      <c r="F12" s="23">
        <v>0</v>
      </c>
      <c r="G12" s="27" t="s">
        <v>13</v>
      </c>
      <c r="H12" s="28"/>
      <c r="I12" s="26"/>
      <c r="J12" s="29"/>
      <c r="K12" s="30"/>
      <c r="L12" s="31"/>
      <c r="M12" s="254"/>
      <c r="Q12"/>
    </row>
    <row r="13" spans="1:17" ht="19.5" customHeight="1" thickBot="1" x14ac:dyDescent="0.25">
      <c r="A13" s="23">
        <v>2025</v>
      </c>
      <c r="B13" s="24">
        <f t="shared" si="0"/>
        <v>4</v>
      </c>
      <c r="C13" s="23">
        <v>335</v>
      </c>
      <c r="D13" s="25"/>
      <c r="E13" s="26"/>
      <c r="F13" s="23">
        <v>0</v>
      </c>
      <c r="G13" s="27" t="s">
        <v>13</v>
      </c>
      <c r="H13" s="28"/>
      <c r="I13" s="26"/>
      <c r="J13" s="29"/>
      <c r="K13" s="30"/>
      <c r="L13" s="31"/>
      <c r="M13" s="254"/>
      <c r="Q13"/>
    </row>
    <row r="14" spans="1:17" ht="19.5" customHeight="1" thickBot="1" x14ac:dyDescent="0.25">
      <c r="A14" s="23">
        <v>2025</v>
      </c>
      <c r="B14" s="24">
        <f t="shared" si="0"/>
        <v>4</v>
      </c>
      <c r="C14" s="23">
        <v>336</v>
      </c>
      <c r="D14" s="25"/>
      <c r="E14" s="26"/>
      <c r="F14" s="23">
        <v>0</v>
      </c>
      <c r="G14" s="27" t="s">
        <v>13</v>
      </c>
      <c r="H14" s="28"/>
      <c r="I14" s="26"/>
      <c r="J14" s="29"/>
      <c r="K14" s="30"/>
      <c r="L14" s="31"/>
      <c r="M14" s="254"/>
      <c r="Q14"/>
    </row>
    <row r="15" spans="1:17" ht="19.5" customHeight="1" thickBot="1" x14ac:dyDescent="0.25">
      <c r="A15" s="32">
        <v>2025</v>
      </c>
      <c r="B15" s="24">
        <f t="shared" si="0"/>
        <v>4</v>
      </c>
      <c r="C15" s="32">
        <v>338</v>
      </c>
      <c r="D15" s="33"/>
      <c r="E15" s="34"/>
      <c r="F15" s="32">
        <v>0</v>
      </c>
      <c r="G15" s="27" t="s">
        <v>13</v>
      </c>
      <c r="H15" s="35"/>
      <c r="I15" s="34"/>
      <c r="J15" s="36"/>
      <c r="K15" s="37"/>
      <c r="L15" s="38"/>
      <c r="M15" s="254"/>
      <c r="Q15"/>
    </row>
    <row r="16" spans="1:17" ht="19.5" customHeight="1" thickBot="1" x14ac:dyDescent="0.25">
      <c r="A16" s="39">
        <v>2025</v>
      </c>
      <c r="B16" s="40">
        <f>B3</f>
        <v>4</v>
      </c>
      <c r="C16" s="39">
        <v>340</v>
      </c>
      <c r="D16" s="41"/>
      <c r="E16" s="42"/>
      <c r="F16" s="39">
        <v>0</v>
      </c>
      <c r="G16" s="39" t="s">
        <v>13</v>
      </c>
      <c r="H16" s="43"/>
      <c r="I16" s="43"/>
      <c r="J16" s="44"/>
      <c r="K16" s="45"/>
      <c r="L16" s="46"/>
      <c r="M16" s="255" t="s">
        <v>16</v>
      </c>
      <c r="Q16"/>
    </row>
    <row r="17" spans="1:23" ht="19.5" customHeight="1" thickBot="1" x14ac:dyDescent="0.25">
      <c r="A17" s="47">
        <v>2025</v>
      </c>
      <c r="B17" s="47">
        <f>B3</f>
        <v>4</v>
      </c>
      <c r="C17" s="48">
        <v>342</v>
      </c>
      <c r="D17" s="49"/>
      <c r="E17" s="50"/>
      <c r="F17" s="48">
        <v>0</v>
      </c>
      <c r="G17" s="48" t="s">
        <v>13</v>
      </c>
      <c r="H17" s="51"/>
      <c r="I17" s="51"/>
      <c r="J17" s="52"/>
      <c r="K17" s="53"/>
      <c r="L17" s="54"/>
      <c r="M17" s="255"/>
      <c r="Q17"/>
    </row>
    <row r="18" spans="1:23" ht="19.5" customHeight="1" thickBot="1" x14ac:dyDescent="0.25">
      <c r="A18" s="47">
        <v>2025</v>
      </c>
      <c r="B18" s="47">
        <f>B3</f>
        <v>4</v>
      </c>
      <c r="C18" s="48">
        <v>343</v>
      </c>
      <c r="D18" s="49"/>
      <c r="E18" s="50"/>
      <c r="F18" s="48">
        <v>0</v>
      </c>
      <c r="G18" s="48" t="s">
        <v>13</v>
      </c>
      <c r="H18" s="51"/>
      <c r="I18" s="51"/>
      <c r="J18" s="52"/>
      <c r="K18" s="53"/>
      <c r="L18" s="54"/>
      <c r="M18" s="255"/>
      <c r="Q18"/>
    </row>
    <row r="19" spans="1:23" ht="19.5" customHeight="1" thickBot="1" x14ac:dyDescent="0.25">
      <c r="A19" s="47">
        <v>2025</v>
      </c>
      <c r="B19" s="47">
        <f>B4</f>
        <v>4</v>
      </c>
      <c r="C19" s="48">
        <v>344</v>
      </c>
      <c r="D19" s="49"/>
      <c r="E19" s="50"/>
      <c r="F19" s="48">
        <v>0</v>
      </c>
      <c r="G19" s="48" t="s">
        <v>13</v>
      </c>
      <c r="H19" s="51"/>
      <c r="I19" s="51"/>
      <c r="J19" s="52"/>
      <c r="K19" s="53"/>
      <c r="L19" s="54"/>
      <c r="M19" s="255"/>
      <c r="N19" s="7"/>
      <c r="O19" s="7"/>
      <c r="W19"/>
    </row>
    <row r="20" spans="1:23" ht="19.5" customHeight="1" thickBot="1" x14ac:dyDescent="0.25">
      <c r="A20" s="47">
        <v>2025</v>
      </c>
      <c r="B20" s="47">
        <f>B5</f>
        <v>4</v>
      </c>
      <c r="C20" s="48">
        <v>345</v>
      </c>
      <c r="D20" s="49"/>
      <c r="E20" s="50"/>
      <c r="F20" s="48">
        <v>0</v>
      </c>
      <c r="G20" s="48" t="s">
        <v>13</v>
      </c>
      <c r="H20" s="51"/>
      <c r="I20" s="51"/>
      <c r="J20" s="52"/>
      <c r="K20" s="53"/>
      <c r="L20" s="54"/>
      <c r="M20" s="255"/>
      <c r="N20" s="7"/>
      <c r="O20" s="7"/>
      <c r="W20"/>
    </row>
    <row r="21" spans="1:23" ht="19.5" customHeight="1" thickBot="1" x14ac:dyDescent="0.25">
      <c r="A21" s="55">
        <v>2025</v>
      </c>
      <c r="B21" s="56">
        <f>B6</f>
        <v>4</v>
      </c>
      <c r="C21" s="57">
        <v>346</v>
      </c>
      <c r="D21" s="58"/>
      <c r="E21" s="59"/>
      <c r="F21" s="57">
        <v>0</v>
      </c>
      <c r="G21" s="57" t="s">
        <v>13</v>
      </c>
      <c r="H21" s="60"/>
      <c r="I21" s="60"/>
      <c r="J21" s="61"/>
      <c r="K21" s="62"/>
      <c r="L21" s="63"/>
      <c r="M21" s="255"/>
      <c r="N21" s="7"/>
      <c r="O21" s="7"/>
      <c r="W21"/>
    </row>
    <row r="22" spans="1:23" ht="19.5" customHeight="1" thickBot="1" x14ac:dyDescent="0.25">
      <c r="A22" s="64">
        <v>2025</v>
      </c>
      <c r="B22" s="65">
        <f>B3</f>
        <v>4</v>
      </c>
      <c r="C22" s="64">
        <v>401</v>
      </c>
      <c r="D22" s="66"/>
      <c r="E22" s="67"/>
      <c r="F22" s="64">
        <v>0</v>
      </c>
      <c r="G22" s="64" t="s">
        <v>13</v>
      </c>
      <c r="H22" s="68"/>
      <c r="I22" s="68"/>
      <c r="J22" s="69"/>
      <c r="K22" s="70"/>
      <c r="L22" s="71"/>
      <c r="M22" s="259" t="s">
        <v>17</v>
      </c>
      <c r="N22" s="7"/>
      <c r="O22" s="7"/>
      <c r="W22"/>
    </row>
    <row r="23" spans="1:23" ht="19.5" customHeight="1" thickBot="1" x14ac:dyDescent="0.25">
      <c r="A23" s="64">
        <v>2025</v>
      </c>
      <c r="B23" s="72">
        <f>B3</f>
        <v>4</v>
      </c>
      <c r="C23" s="73">
        <v>404</v>
      </c>
      <c r="D23" s="74"/>
      <c r="E23" s="67"/>
      <c r="F23" s="64">
        <v>0</v>
      </c>
      <c r="G23" s="73" t="s">
        <v>13</v>
      </c>
      <c r="H23" s="75"/>
      <c r="I23" s="75"/>
      <c r="J23" s="76"/>
      <c r="K23" s="77"/>
      <c r="L23" s="78"/>
      <c r="M23" s="259"/>
      <c r="N23" s="7"/>
      <c r="O23" s="7"/>
      <c r="W23"/>
    </row>
    <row r="24" spans="1:23" ht="19.5" customHeight="1" thickBot="1" x14ac:dyDescent="0.25">
      <c r="A24" s="79">
        <v>2025</v>
      </c>
      <c r="B24" s="79">
        <f>B3</f>
        <v>4</v>
      </c>
      <c r="C24" s="80">
        <v>405</v>
      </c>
      <c r="D24" s="81"/>
      <c r="E24" s="82"/>
      <c r="F24" s="83">
        <v>0</v>
      </c>
      <c r="G24" s="80" t="s">
        <v>13</v>
      </c>
      <c r="H24" s="82"/>
      <c r="I24" s="82"/>
      <c r="J24" s="84"/>
      <c r="K24" s="85"/>
      <c r="L24" s="86"/>
      <c r="M24" s="259"/>
      <c r="N24" s="7"/>
      <c r="O24" s="7"/>
      <c r="W24"/>
    </row>
    <row r="25" spans="1:23" ht="19.5" customHeight="1" thickBot="1" x14ac:dyDescent="0.25">
      <c r="A25" s="87">
        <v>2025</v>
      </c>
      <c r="B25" s="87">
        <f>B3</f>
        <v>4</v>
      </c>
      <c r="C25" s="88">
        <v>411</v>
      </c>
      <c r="D25" s="89"/>
      <c r="E25" s="90"/>
      <c r="F25" s="91">
        <v>0</v>
      </c>
      <c r="G25" s="88" t="s">
        <v>13</v>
      </c>
      <c r="H25" s="90"/>
      <c r="I25" s="90"/>
      <c r="J25" s="92"/>
      <c r="K25" s="93"/>
      <c r="L25" s="94"/>
      <c r="M25" s="258" t="s">
        <v>19</v>
      </c>
      <c r="N25" s="7"/>
      <c r="O25" s="7"/>
      <c r="W25"/>
    </row>
    <row r="26" spans="1:23" ht="19.5" customHeight="1" thickBot="1" x14ac:dyDescent="0.25">
      <c r="A26" s="95">
        <v>2025</v>
      </c>
      <c r="B26" s="95">
        <f>B3</f>
        <v>4</v>
      </c>
      <c r="C26" s="96">
        <v>418</v>
      </c>
      <c r="D26" s="97"/>
      <c r="E26" s="98"/>
      <c r="F26" s="99">
        <v>0</v>
      </c>
      <c r="G26" s="96" t="s">
        <v>13</v>
      </c>
      <c r="H26" s="98"/>
      <c r="I26" s="98"/>
      <c r="J26" s="100"/>
      <c r="K26" s="101"/>
      <c r="L26" s="102"/>
      <c r="M26" s="258"/>
      <c r="N26" s="7"/>
      <c r="O26" s="7"/>
      <c r="W26"/>
    </row>
    <row r="27" spans="1:23" ht="19.5" customHeight="1" thickBot="1" x14ac:dyDescent="0.25">
      <c r="A27" s="95">
        <v>2025</v>
      </c>
      <c r="B27" s="95">
        <f>B3</f>
        <v>4</v>
      </c>
      <c r="C27" s="96">
        <v>501</v>
      </c>
      <c r="D27" s="103"/>
      <c r="E27" s="104"/>
      <c r="F27" s="99">
        <v>0</v>
      </c>
      <c r="G27" s="96" t="s">
        <v>13</v>
      </c>
      <c r="H27" s="98"/>
      <c r="I27" s="98"/>
      <c r="J27" s="100"/>
      <c r="K27" s="101"/>
      <c r="L27" s="102"/>
      <c r="M27" s="258"/>
      <c r="N27" s="7"/>
      <c r="O27" s="7"/>
      <c r="W27"/>
    </row>
    <row r="28" spans="1:23" ht="19.5" customHeight="1" thickBot="1" x14ac:dyDescent="0.25">
      <c r="A28" s="95">
        <v>2025</v>
      </c>
      <c r="B28" s="95">
        <f>B3</f>
        <v>4</v>
      </c>
      <c r="C28" s="96">
        <v>504</v>
      </c>
      <c r="D28" s="97"/>
      <c r="E28" s="98"/>
      <c r="F28" s="99">
        <v>0</v>
      </c>
      <c r="G28" s="96" t="s">
        <v>13</v>
      </c>
      <c r="H28" s="98"/>
      <c r="I28" s="98"/>
      <c r="J28" s="100"/>
      <c r="K28" s="101"/>
      <c r="L28" s="102"/>
      <c r="M28" s="258"/>
      <c r="N28" s="7"/>
      <c r="O28" s="7"/>
      <c r="W28"/>
    </row>
    <row r="29" spans="1:23" ht="19.5" customHeight="1" thickBot="1" x14ac:dyDescent="0.25">
      <c r="A29" s="95">
        <v>2025</v>
      </c>
      <c r="B29" s="95">
        <f>B3</f>
        <v>4</v>
      </c>
      <c r="C29" s="96">
        <v>519</v>
      </c>
      <c r="D29" s="97"/>
      <c r="E29" s="98"/>
      <c r="F29" s="99">
        <v>0</v>
      </c>
      <c r="G29" s="96" t="s">
        <v>13</v>
      </c>
      <c r="H29" s="98"/>
      <c r="I29" s="98"/>
      <c r="J29" s="100"/>
      <c r="K29" s="101"/>
      <c r="L29" s="102"/>
      <c r="M29" s="258"/>
      <c r="N29" s="7"/>
      <c r="O29" s="7"/>
      <c r="W29"/>
    </row>
    <row r="30" spans="1:23" ht="19.5" customHeight="1" thickBot="1" x14ac:dyDescent="0.25">
      <c r="A30" s="95">
        <v>2025</v>
      </c>
      <c r="B30" s="95">
        <f>B3</f>
        <v>4</v>
      </c>
      <c r="C30" s="96">
        <v>602</v>
      </c>
      <c r="D30" s="103"/>
      <c r="E30" s="104"/>
      <c r="F30" s="99">
        <v>0</v>
      </c>
      <c r="G30" s="96" t="s">
        <v>13</v>
      </c>
      <c r="H30" s="98"/>
      <c r="I30" s="98"/>
      <c r="J30" s="100"/>
      <c r="K30" s="101"/>
      <c r="L30" s="102"/>
      <c r="M30" s="258"/>
      <c r="N30" s="7"/>
      <c r="O30" s="7"/>
      <c r="W30"/>
    </row>
    <row r="31" spans="1:23" ht="19.5" customHeight="1" thickBot="1" x14ac:dyDescent="0.25">
      <c r="A31" s="95">
        <v>2025</v>
      </c>
      <c r="B31" s="95">
        <f>B3</f>
        <v>4</v>
      </c>
      <c r="C31" s="96">
        <v>606</v>
      </c>
      <c r="D31" s="97"/>
      <c r="E31" s="98"/>
      <c r="F31" s="99">
        <v>0</v>
      </c>
      <c r="G31" s="96" t="s">
        <v>13</v>
      </c>
      <c r="H31" s="98"/>
      <c r="I31" s="98"/>
      <c r="J31" s="100"/>
      <c r="K31" s="101"/>
      <c r="L31" s="102"/>
      <c r="M31" s="258"/>
      <c r="N31" s="7"/>
      <c r="O31" s="7"/>
      <c r="W31"/>
    </row>
    <row r="32" spans="1:23" ht="19.5" customHeight="1" thickBot="1" x14ac:dyDescent="0.25">
      <c r="A32" s="95">
        <v>2025</v>
      </c>
      <c r="B32" s="95">
        <f>B3</f>
        <v>4</v>
      </c>
      <c r="C32" s="96">
        <v>609</v>
      </c>
      <c r="D32" s="97"/>
      <c r="E32" s="98"/>
      <c r="F32" s="99">
        <v>0</v>
      </c>
      <c r="G32" s="96" t="s">
        <v>13</v>
      </c>
      <c r="H32" s="98"/>
      <c r="I32" s="98"/>
      <c r="J32" s="100"/>
      <c r="K32" s="101"/>
      <c r="L32" s="102"/>
      <c r="M32" s="258"/>
      <c r="N32" s="7"/>
      <c r="O32" s="7"/>
      <c r="W32"/>
    </row>
    <row r="33" spans="1:23" ht="19.5" customHeight="1" thickBot="1" x14ac:dyDescent="0.25">
      <c r="A33" s="105">
        <v>2025</v>
      </c>
      <c r="B33" s="106">
        <f>B3</f>
        <v>4</v>
      </c>
      <c r="C33" s="107">
        <v>610</v>
      </c>
      <c r="D33" s="108"/>
      <c r="E33" s="109"/>
      <c r="F33" s="110">
        <v>0</v>
      </c>
      <c r="G33" s="107" t="s">
        <v>13</v>
      </c>
      <c r="H33" s="111"/>
      <c r="I33" s="111"/>
      <c r="J33" s="112"/>
      <c r="K33" s="113"/>
      <c r="L33" s="114"/>
      <c r="M33" s="258"/>
      <c r="N33" s="7"/>
      <c r="O33" s="7"/>
      <c r="W33"/>
    </row>
    <row r="34" spans="1:23" ht="19.5" customHeight="1" thickBot="1" x14ac:dyDescent="0.25">
      <c r="A34" s="115">
        <v>2025</v>
      </c>
      <c r="B34" s="116">
        <f>B3</f>
        <v>4</v>
      </c>
      <c r="C34" s="117">
        <v>508</v>
      </c>
      <c r="D34" s="118"/>
      <c r="E34" s="119"/>
      <c r="F34" s="120">
        <v>0</v>
      </c>
      <c r="G34" s="121" t="s">
        <v>13</v>
      </c>
      <c r="H34" s="121"/>
      <c r="I34" s="121"/>
      <c r="J34" s="122"/>
      <c r="K34" s="123"/>
      <c r="L34" s="124"/>
      <c r="M34" s="256" t="s">
        <v>6</v>
      </c>
      <c r="N34" s="7"/>
      <c r="O34" s="7"/>
      <c r="W34"/>
    </row>
    <row r="35" spans="1:23" ht="19.5" customHeight="1" thickBot="1" x14ac:dyDescent="0.25">
      <c r="A35" s="116">
        <v>2025</v>
      </c>
      <c r="B35" s="116">
        <f>B3</f>
        <v>4</v>
      </c>
      <c r="C35" s="125">
        <v>513</v>
      </c>
      <c r="D35" s="126"/>
      <c r="E35" s="127"/>
      <c r="F35" s="128">
        <v>0</v>
      </c>
      <c r="G35" s="129" t="s">
        <v>13</v>
      </c>
      <c r="H35" s="129"/>
      <c r="I35" s="129"/>
      <c r="J35" s="130"/>
      <c r="K35" s="131"/>
      <c r="L35" s="132"/>
      <c r="M35" s="256"/>
      <c r="N35" s="7"/>
      <c r="O35" s="7"/>
      <c r="W35"/>
    </row>
    <row r="36" spans="1:23" ht="19.5" customHeight="1" thickBot="1" x14ac:dyDescent="0.25">
      <c r="A36" s="116">
        <v>2025</v>
      </c>
      <c r="B36" s="116">
        <f>B3</f>
        <v>4</v>
      </c>
      <c r="C36" s="125">
        <v>520</v>
      </c>
      <c r="D36" s="126"/>
      <c r="E36" s="127"/>
      <c r="F36" s="128">
        <v>0</v>
      </c>
      <c r="G36" s="129" t="s">
        <v>13</v>
      </c>
      <c r="H36" s="129"/>
      <c r="I36" s="129"/>
      <c r="J36" s="130"/>
      <c r="K36" s="131"/>
      <c r="L36" s="132"/>
      <c r="M36" s="256"/>
      <c r="N36" s="7"/>
      <c r="O36" s="7"/>
      <c r="W36"/>
    </row>
    <row r="37" spans="1:23" ht="19.5" customHeight="1" thickBot="1" x14ac:dyDescent="0.25">
      <c r="A37" s="116">
        <v>2025</v>
      </c>
      <c r="B37" s="116">
        <f>B3</f>
        <v>4</v>
      </c>
      <c r="C37" s="125">
        <v>801</v>
      </c>
      <c r="D37" s="126">
        <v>45777</v>
      </c>
      <c r="E37" s="127">
        <v>67</v>
      </c>
      <c r="F37" s="128">
        <v>3</v>
      </c>
      <c r="G37" s="129" t="s">
        <v>21</v>
      </c>
      <c r="H37" s="129">
        <v>2</v>
      </c>
      <c r="I37" s="129" t="s">
        <v>26</v>
      </c>
      <c r="J37" s="130">
        <v>12</v>
      </c>
      <c r="K37" s="131">
        <v>18</v>
      </c>
      <c r="L37" s="132">
        <v>15</v>
      </c>
      <c r="M37" s="256"/>
      <c r="N37" s="7"/>
      <c r="O37" s="7"/>
      <c r="W37"/>
    </row>
    <row r="38" spans="1:23" ht="19.5" customHeight="1" thickBot="1" x14ac:dyDescent="0.25">
      <c r="A38" s="116">
        <v>2025</v>
      </c>
      <c r="B38" s="133">
        <f>B3</f>
        <v>4</v>
      </c>
      <c r="C38" s="134">
        <v>804</v>
      </c>
      <c r="D38" s="135">
        <v>45776</v>
      </c>
      <c r="E38" s="136">
        <v>77</v>
      </c>
      <c r="F38" s="137">
        <v>3</v>
      </c>
      <c r="G38" s="138" t="s">
        <v>21</v>
      </c>
      <c r="H38" s="138">
        <v>1</v>
      </c>
      <c r="I38" s="138" t="s">
        <v>26</v>
      </c>
      <c r="J38" s="139">
        <v>8</v>
      </c>
      <c r="K38" s="140">
        <v>8</v>
      </c>
      <c r="L38" s="141">
        <v>8</v>
      </c>
      <c r="M38" s="256"/>
      <c r="N38" s="7"/>
      <c r="O38" s="7"/>
      <c r="W38"/>
    </row>
    <row r="39" spans="1:23" ht="19.5" customHeight="1" x14ac:dyDescent="0.2">
      <c r="A39" s="142">
        <v>2025</v>
      </c>
      <c r="B39" s="142">
        <f>B3</f>
        <v>4</v>
      </c>
      <c r="C39" s="143">
        <v>703</v>
      </c>
      <c r="D39" s="144">
        <v>45776</v>
      </c>
      <c r="E39" s="145">
        <v>79</v>
      </c>
      <c r="F39" s="146">
        <v>3</v>
      </c>
      <c r="G39" s="147" t="s">
        <v>21</v>
      </c>
      <c r="H39" s="148">
        <v>4</v>
      </c>
      <c r="I39" s="148" t="s">
        <v>26</v>
      </c>
      <c r="J39" s="149">
        <v>9</v>
      </c>
      <c r="K39" s="150">
        <v>16</v>
      </c>
      <c r="L39" s="151">
        <v>12.5</v>
      </c>
      <c r="M39" s="260" t="s">
        <v>7</v>
      </c>
      <c r="N39" s="7"/>
      <c r="O39" s="7"/>
      <c r="W39"/>
    </row>
    <row r="40" spans="1:23" ht="19.5" customHeight="1" x14ac:dyDescent="0.2">
      <c r="A40" s="152">
        <v>2025</v>
      </c>
      <c r="B40" s="152">
        <f>B3</f>
        <v>4</v>
      </c>
      <c r="C40" s="153">
        <v>704</v>
      </c>
      <c r="D40" s="154"/>
      <c r="E40" s="155"/>
      <c r="F40" s="147">
        <v>0</v>
      </c>
      <c r="G40" s="147" t="s">
        <v>13</v>
      </c>
      <c r="H40" s="156"/>
      <c r="I40" s="156"/>
      <c r="J40" s="157"/>
      <c r="K40" s="158"/>
      <c r="L40" s="159"/>
      <c r="M40" s="261"/>
      <c r="N40" s="7"/>
      <c r="O40" s="7"/>
      <c r="W40"/>
    </row>
    <row r="41" spans="1:23" ht="19.5" customHeight="1" x14ac:dyDescent="0.2">
      <c r="A41" s="152">
        <v>2025</v>
      </c>
      <c r="B41" s="152">
        <f>B3</f>
        <v>4</v>
      </c>
      <c r="C41" s="153">
        <v>705</v>
      </c>
      <c r="D41" s="154">
        <v>45776</v>
      </c>
      <c r="E41" s="155">
        <v>98</v>
      </c>
      <c r="F41" s="147">
        <v>3</v>
      </c>
      <c r="G41" s="147" t="s">
        <v>22</v>
      </c>
      <c r="H41" s="156"/>
      <c r="I41" s="156" t="s">
        <v>26</v>
      </c>
      <c r="J41" s="157"/>
      <c r="K41" s="158"/>
      <c r="L41" s="159"/>
      <c r="M41" s="261"/>
      <c r="N41" s="7"/>
      <c r="O41" s="7"/>
      <c r="W41"/>
    </row>
    <row r="42" spans="1:23" ht="19.5" customHeight="1" x14ac:dyDescent="0.2">
      <c r="A42" s="152">
        <v>2025</v>
      </c>
      <c r="B42" s="152">
        <f>B3</f>
        <v>4</v>
      </c>
      <c r="C42" s="153">
        <v>706</v>
      </c>
      <c r="D42" s="154"/>
      <c r="E42" s="155"/>
      <c r="F42" s="147">
        <v>0</v>
      </c>
      <c r="G42" s="147" t="s">
        <v>13</v>
      </c>
      <c r="H42" s="156"/>
      <c r="I42" s="156"/>
      <c r="J42" s="157"/>
      <c r="K42" s="158"/>
      <c r="L42" s="159"/>
      <c r="M42" s="261"/>
      <c r="N42" s="7"/>
      <c r="O42" s="7"/>
      <c r="W42"/>
    </row>
    <row r="43" spans="1:23" ht="19.5" customHeight="1" x14ac:dyDescent="0.2">
      <c r="A43" s="152">
        <v>2025</v>
      </c>
      <c r="B43" s="152">
        <f>B3</f>
        <v>4</v>
      </c>
      <c r="C43" s="153">
        <v>707</v>
      </c>
      <c r="D43" s="154"/>
      <c r="E43" s="155"/>
      <c r="F43" s="147">
        <v>0</v>
      </c>
      <c r="G43" s="147" t="s">
        <v>13</v>
      </c>
      <c r="H43" s="156"/>
      <c r="I43" s="156"/>
      <c r="J43" s="157"/>
      <c r="K43" s="158"/>
      <c r="L43" s="159"/>
      <c r="M43" s="261"/>
      <c r="N43" s="7"/>
      <c r="O43" s="7"/>
      <c r="W43"/>
    </row>
    <row r="44" spans="1:23" ht="19.5" customHeight="1" x14ac:dyDescent="0.2">
      <c r="A44" s="152">
        <v>2025</v>
      </c>
      <c r="B44" s="152">
        <f>B3</f>
        <v>4</v>
      </c>
      <c r="C44" s="153">
        <v>711</v>
      </c>
      <c r="D44" s="154">
        <v>45776</v>
      </c>
      <c r="E44" s="155">
        <v>98</v>
      </c>
      <c r="F44" s="147">
        <v>3</v>
      </c>
      <c r="G44" s="147" t="s">
        <v>22</v>
      </c>
      <c r="H44" s="156"/>
      <c r="I44" s="156" t="s">
        <v>26</v>
      </c>
      <c r="J44" s="157"/>
      <c r="K44" s="158"/>
      <c r="L44" s="159"/>
      <c r="M44" s="261"/>
      <c r="N44" s="7"/>
      <c r="O44" s="7"/>
      <c r="W44"/>
    </row>
    <row r="45" spans="1:23" ht="19.5" customHeight="1" x14ac:dyDescent="0.2">
      <c r="A45" s="160">
        <v>2025</v>
      </c>
      <c r="B45" s="160">
        <f>B3</f>
        <v>4</v>
      </c>
      <c r="C45" s="161">
        <v>716</v>
      </c>
      <c r="D45" s="162"/>
      <c r="E45" s="163"/>
      <c r="F45" s="164">
        <v>0</v>
      </c>
      <c r="G45" s="165" t="s">
        <v>13</v>
      </c>
      <c r="H45" s="163"/>
      <c r="I45" s="163"/>
      <c r="J45" s="166"/>
      <c r="K45" s="167"/>
      <c r="L45" s="168"/>
      <c r="M45" s="261"/>
      <c r="N45" s="7"/>
      <c r="O45" s="7"/>
      <c r="W45"/>
    </row>
    <row r="46" spans="1:23" ht="19.5" customHeight="1" x14ac:dyDescent="0.2">
      <c r="A46" s="152">
        <v>2025</v>
      </c>
      <c r="B46" s="152">
        <f>B3</f>
        <v>4</v>
      </c>
      <c r="C46" s="153">
        <v>718</v>
      </c>
      <c r="D46" s="154">
        <v>45777</v>
      </c>
      <c r="E46" s="155">
        <v>96</v>
      </c>
      <c r="F46" s="147">
        <v>3</v>
      </c>
      <c r="G46" s="147" t="s">
        <v>22</v>
      </c>
      <c r="H46" s="155"/>
      <c r="I46" s="156" t="s">
        <v>26</v>
      </c>
      <c r="J46" s="169"/>
      <c r="K46" s="170"/>
      <c r="L46" s="171"/>
      <c r="M46" s="261"/>
      <c r="N46" s="7"/>
      <c r="O46" s="7"/>
      <c r="W46"/>
    </row>
    <row r="47" spans="1:23" ht="19.5" customHeight="1" x14ac:dyDescent="0.2">
      <c r="A47" s="152">
        <v>2025</v>
      </c>
      <c r="B47" s="152">
        <f>B3</f>
        <v>4</v>
      </c>
      <c r="C47" s="153">
        <v>719</v>
      </c>
      <c r="D47" s="154"/>
      <c r="E47" s="155"/>
      <c r="F47" s="147">
        <v>0</v>
      </c>
      <c r="G47" s="147" t="s">
        <v>13</v>
      </c>
      <c r="H47" s="156"/>
      <c r="I47" s="156"/>
      <c r="J47" s="157"/>
      <c r="K47" s="158"/>
      <c r="L47" s="159"/>
      <c r="M47" s="261"/>
      <c r="N47" s="7"/>
      <c r="O47" s="7"/>
      <c r="W47"/>
    </row>
    <row r="48" spans="1:23" ht="19.5" customHeight="1" x14ac:dyDescent="0.2">
      <c r="A48" s="152">
        <v>2025</v>
      </c>
      <c r="B48" s="152">
        <f>B3</f>
        <v>4</v>
      </c>
      <c r="C48" s="153">
        <v>720</v>
      </c>
      <c r="D48" s="154"/>
      <c r="E48" s="155"/>
      <c r="F48" s="147">
        <v>0</v>
      </c>
      <c r="G48" s="147" t="s">
        <v>13</v>
      </c>
      <c r="H48" s="156"/>
      <c r="I48" s="156"/>
      <c r="J48" s="157"/>
      <c r="K48" s="158"/>
      <c r="L48" s="159"/>
      <c r="M48" s="261"/>
      <c r="N48" s="7"/>
      <c r="O48" s="7"/>
      <c r="W48"/>
    </row>
    <row r="49" spans="1:23" ht="19.5" customHeight="1" x14ac:dyDescent="0.2">
      <c r="A49" s="152">
        <v>2025</v>
      </c>
      <c r="B49" s="152">
        <f>B3</f>
        <v>4</v>
      </c>
      <c r="C49" s="153">
        <v>723</v>
      </c>
      <c r="D49" s="154">
        <v>45777</v>
      </c>
      <c r="E49" s="155">
        <v>98</v>
      </c>
      <c r="F49" s="147">
        <v>3</v>
      </c>
      <c r="G49" s="147" t="s">
        <v>22</v>
      </c>
      <c r="H49" s="155"/>
      <c r="I49" s="156" t="s">
        <v>26</v>
      </c>
      <c r="J49" s="169"/>
      <c r="K49" s="170"/>
      <c r="L49" s="171"/>
      <c r="M49" s="261"/>
      <c r="N49" s="7"/>
      <c r="O49" s="7"/>
      <c r="W49"/>
    </row>
    <row r="50" spans="1:23" ht="19.5" customHeight="1" x14ac:dyDescent="0.2">
      <c r="A50" s="152">
        <v>2025</v>
      </c>
      <c r="B50" s="152">
        <f>B3</f>
        <v>4</v>
      </c>
      <c r="C50" s="153">
        <v>724</v>
      </c>
      <c r="D50" s="154"/>
      <c r="E50" s="155"/>
      <c r="F50" s="147">
        <v>0</v>
      </c>
      <c r="G50" s="147" t="s">
        <v>13</v>
      </c>
      <c r="H50" s="156"/>
      <c r="I50" s="156"/>
      <c r="J50" s="157"/>
      <c r="K50" s="158"/>
      <c r="L50" s="159"/>
      <c r="M50" s="261"/>
      <c r="N50" s="7"/>
      <c r="O50" s="7"/>
      <c r="W50"/>
    </row>
    <row r="51" spans="1:23" ht="19.5" customHeight="1" thickBot="1" x14ac:dyDescent="0.25">
      <c r="A51" s="172">
        <v>2025</v>
      </c>
      <c r="B51" s="172">
        <f>B3</f>
        <v>4</v>
      </c>
      <c r="C51" s="173">
        <v>726</v>
      </c>
      <c r="D51" s="174">
        <v>45777</v>
      </c>
      <c r="E51" s="175">
        <v>103</v>
      </c>
      <c r="F51" s="176">
        <v>3</v>
      </c>
      <c r="G51" s="147" t="s">
        <v>22</v>
      </c>
      <c r="H51" s="177"/>
      <c r="I51" s="177" t="s">
        <v>26</v>
      </c>
      <c r="J51" s="178"/>
      <c r="K51" s="179"/>
      <c r="L51" s="180"/>
      <c r="M51" s="262"/>
      <c r="N51" s="7"/>
      <c r="O51" s="7"/>
      <c r="W51"/>
    </row>
    <row r="52" spans="1:23" ht="19.5" customHeight="1" thickBot="1" x14ac:dyDescent="0.25">
      <c r="A52" s="181">
        <v>2025</v>
      </c>
      <c r="B52" s="181">
        <f>B3</f>
        <v>4</v>
      </c>
      <c r="C52" s="182">
        <v>809</v>
      </c>
      <c r="D52" s="183">
        <v>45775</v>
      </c>
      <c r="E52" s="184">
        <v>96</v>
      </c>
      <c r="F52" s="181">
        <v>3</v>
      </c>
      <c r="G52" s="182" t="s">
        <v>21</v>
      </c>
      <c r="H52" s="185">
        <v>4</v>
      </c>
      <c r="I52" s="185" t="s">
        <v>26</v>
      </c>
      <c r="J52" s="186">
        <v>13</v>
      </c>
      <c r="K52" s="187">
        <v>17</v>
      </c>
      <c r="L52" s="188">
        <v>14.75</v>
      </c>
      <c r="M52" s="257" t="s">
        <v>8</v>
      </c>
      <c r="N52" s="7"/>
      <c r="O52" s="7"/>
      <c r="W52"/>
    </row>
    <row r="53" spans="1:23" ht="19.5" customHeight="1" thickBot="1" x14ac:dyDescent="0.3">
      <c r="A53" s="189">
        <v>2025</v>
      </c>
      <c r="B53" s="189">
        <f>B3</f>
        <v>4</v>
      </c>
      <c r="C53" s="190" t="s">
        <v>29</v>
      </c>
      <c r="D53" s="191">
        <v>45775</v>
      </c>
      <c r="E53" s="192">
        <v>84</v>
      </c>
      <c r="F53" s="189">
        <v>3</v>
      </c>
      <c r="G53" s="190" t="s">
        <v>21</v>
      </c>
      <c r="H53" s="193">
        <v>1</v>
      </c>
      <c r="I53" s="193" t="s">
        <v>26</v>
      </c>
      <c r="J53" s="194">
        <v>13</v>
      </c>
      <c r="K53" s="195">
        <v>13</v>
      </c>
      <c r="L53" s="196">
        <v>13</v>
      </c>
      <c r="M53" s="257"/>
      <c r="N53" s="7"/>
      <c r="O53" s="7"/>
      <c r="W53"/>
    </row>
    <row r="54" spans="1:23" ht="19.5" customHeight="1" thickBot="1" x14ac:dyDescent="0.25">
      <c r="A54" s="197">
        <v>2025</v>
      </c>
      <c r="B54" s="197">
        <f>B3</f>
        <v>4</v>
      </c>
      <c r="C54" s="198">
        <v>815</v>
      </c>
      <c r="D54" s="199">
        <v>45775</v>
      </c>
      <c r="E54" s="200">
        <v>141</v>
      </c>
      <c r="F54" s="197">
        <v>3</v>
      </c>
      <c r="G54" s="201" t="s">
        <v>21</v>
      </c>
      <c r="H54" s="202">
        <v>3</v>
      </c>
      <c r="I54" s="202" t="s">
        <v>26</v>
      </c>
      <c r="J54" s="203">
        <v>13</v>
      </c>
      <c r="K54" s="204">
        <v>18</v>
      </c>
      <c r="L54" s="205">
        <v>15.3333333333333</v>
      </c>
      <c r="M54" s="257"/>
      <c r="N54" s="7"/>
      <c r="O54" s="7"/>
      <c r="W54"/>
    </row>
    <row r="55" spans="1:23" ht="19.5" customHeight="1" thickBot="1" x14ac:dyDescent="0.3">
      <c r="A55" s="197">
        <v>2025</v>
      </c>
      <c r="B55" s="197">
        <f>B3</f>
        <v>4</v>
      </c>
      <c r="C55" s="198" t="s">
        <v>30</v>
      </c>
      <c r="D55" s="206">
        <v>45776</v>
      </c>
      <c r="E55" s="200">
        <v>161</v>
      </c>
      <c r="F55" s="197">
        <v>3</v>
      </c>
      <c r="G55" s="201" t="s">
        <v>22</v>
      </c>
      <c r="H55" s="202"/>
      <c r="I55" s="202" t="s">
        <v>26</v>
      </c>
      <c r="J55" s="203"/>
      <c r="K55" s="204"/>
      <c r="L55" s="205"/>
      <c r="M55" s="257"/>
      <c r="N55" s="7"/>
      <c r="O55" s="7"/>
      <c r="W55"/>
    </row>
    <row r="56" spans="1:23" ht="19.5" customHeight="1" thickBot="1" x14ac:dyDescent="0.25">
      <c r="A56" s="197">
        <v>2025</v>
      </c>
      <c r="B56" s="197">
        <f>B3</f>
        <v>4</v>
      </c>
      <c r="C56" s="198">
        <v>902</v>
      </c>
      <c r="D56" s="206"/>
      <c r="E56" s="200">
        <v>190</v>
      </c>
      <c r="F56" s="197">
        <v>0</v>
      </c>
      <c r="G56" s="201" t="s">
        <v>13</v>
      </c>
      <c r="H56" s="202"/>
      <c r="I56" s="202"/>
      <c r="J56" s="203"/>
      <c r="K56" s="204"/>
      <c r="L56" s="205"/>
      <c r="M56" s="257"/>
      <c r="N56" s="7"/>
      <c r="O56" s="7"/>
      <c r="W56"/>
    </row>
    <row r="57" spans="1:23" ht="19.5" customHeight="1" thickBot="1" x14ac:dyDescent="0.25">
      <c r="A57" s="197">
        <v>2025</v>
      </c>
      <c r="B57" s="197">
        <f>B3</f>
        <v>4</v>
      </c>
      <c r="C57" s="198">
        <v>906</v>
      </c>
      <c r="D57" s="206">
        <v>45775</v>
      </c>
      <c r="E57" s="200">
        <v>142</v>
      </c>
      <c r="F57" s="197">
        <v>3</v>
      </c>
      <c r="G57" s="201" t="s">
        <v>22</v>
      </c>
      <c r="H57" s="202"/>
      <c r="I57" s="202" t="s">
        <v>26</v>
      </c>
      <c r="J57" s="203"/>
      <c r="K57" s="204"/>
      <c r="L57" s="205"/>
      <c r="M57" s="257"/>
      <c r="N57" s="7"/>
      <c r="O57" s="7"/>
      <c r="W57"/>
    </row>
    <row r="58" spans="1:23" ht="19.5" customHeight="1" thickBot="1" x14ac:dyDescent="0.25">
      <c r="A58" s="197">
        <v>2025</v>
      </c>
      <c r="B58" s="197">
        <f>B3</f>
        <v>4</v>
      </c>
      <c r="C58" s="198">
        <v>910</v>
      </c>
      <c r="D58" s="206">
        <v>45775</v>
      </c>
      <c r="E58" s="200">
        <v>112</v>
      </c>
      <c r="F58" s="197">
        <v>3</v>
      </c>
      <c r="G58" s="201" t="s">
        <v>22</v>
      </c>
      <c r="H58" s="202"/>
      <c r="I58" s="202" t="s">
        <v>26</v>
      </c>
      <c r="J58" s="203"/>
      <c r="K58" s="204"/>
      <c r="L58" s="205"/>
      <c r="M58" s="257"/>
      <c r="N58" s="7"/>
      <c r="O58" s="7"/>
      <c r="W58"/>
    </row>
    <row r="59" spans="1:23" ht="19.5" customHeight="1" thickBot="1" x14ac:dyDescent="0.25">
      <c r="A59" s="197">
        <v>2025</v>
      </c>
      <c r="B59" s="197">
        <f>B3</f>
        <v>4</v>
      </c>
      <c r="C59" s="198">
        <v>912</v>
      </c>
      <c r="D59" s="206">
        <v>45775</v>
      </c>
      <c r="E59" s="200">
        <v>80</v>
      </c>
      <c r="F59" s="197">
        <v>3</v>
      </c>
      <c r="G59" s="201" t="s">
        <v>22</v>
      </c>
      <c r="H59" s="202"/>
      <c r="I59" s="202" t="s">
        <v>26</v>
      </c>
      <c r="J59" s="203"/>
      <c r="K59" s="204"/>
      <c r="L59" s="205"/>
      <c r="M59" s="257"/>
      <c r="N59" s="7"/>
      <c r="O59" s="7"/>
      <c r="W59"/>
    </row>
    <row r="60" spans="1:23" ht="19.5" customHeight="1" thickBot="1" x14ac:dyDescent="0.3">
      <c r="A60" s="197">
        <v>2025</v>
      </c>
      <c r="B60" s="197">
        <f>B3</f>
        <v>4</v>
      </c>
      <c r="C60" s="198" t="s">
        <v>47</v>
      </c>
      <c r="D60" s="206">
        <v>45776</v>
      </c>
      <c r="E60" s="200">
        <v>200</v>
      </c>
      <c r="F60" s="197">
        <v>3</v>
      </c>
      <c r="G60" s="201" t="s">
        <v>22</v>
      </c>
      <c r="H60" s="202"/>
      <c r="I60" s="202" t="s">
        <v>26</v>
      </c>
      <c r="J60" s="203"/>
      <c r="K60" s="204"/>
      <c r="L60" s="205"/>
      <c r="M60" s="257"/>
      <c r="N60" s="7"/>
      <c r="O60" s="7"/>
      <c r="W60"/>
    </row>
    <row r="61" spans="1:23" ht="19.5" customHeight="1" thickBot="1" x14ac:dyDescent="0.25">
      <c r="A61" s="197">
        <v>2025</v>
      </c>
      <c r="B61" s="197">
        <f>B3</f>
        <v>4</v>
      </c>
      <c r="C61" s="198">
        <v>915</v>
      </c>
      <c r="D61" s="206">
        <v>45776</v>
      </c>
      <c r="E61" s="200">
        <v>166</v>
      </c>
      <c r="F61" s="197">
        <v>3</v>
      </c>
      <c r="G61" s="201" t="s">
        <v>22</v>
      </c>
      <c r="H61" s="202"/>
      <c r="I61" s="202" t="s">
        <v>26</v>
      </c>
      <c r="J61" s="203"/>
      <c r="K61" s="204"/>
      <c r="L61" s="205"/>
      <c r="M61" s="257"/>
      <c r="N61" s="7"/>
      <c r="O61" s="7"/>
      <c r="W61"/>
    </row>
    <row r="62" spans="1:23" ht="19.5" customHeight="1" thickBot="1" x14ac:dyDescent="0.25">
      <c r="A62" s="197">
        <v>2025</v>
      </c>
      <c r="B62" s="197">
        <f>B3</f>
        <v>4</v>
      </c>
      <c r="C62" s="198">
        <v>918</v>
      </c>
      <c r="D62" s="206">
        <v>45776</v>
      </c>
      <c r="E62" s="200">
        <v>63</v>
      </c>
      <c r="F62" s="197">
        <v>3</v>
      </c>
      <c r="G62" s="201" t="s">
        <v>22</v>
      </c>
      <c r="H62" s="202"/>
      <c r="I62" s="202" t="s">
        <v>26</v>
      </c>
      <c r="J62" s="203"/>
      <c r="K62" s="204"/>
      <c r="L62" s="205"/>
      <c r="M62" s="257"/>
      <c r="N62" s="7"/>
      <c r="O62" s="7"/>
      <c r="W62"/>
    </row>
    <row r="63" spans="1:23" ht="19.5" customHeight="1" thickBot="1" x14ac:dyDescent="0.25">
      <c r="A63" s="207">
        <v>2025</v>
      </c>
      <c r="B63" s="207">
        <f>B3</f>
        <v>4</v>
      </c>
      <c r="C63" s="208">
        <v>919</v>
      </c>
      <c r="D63" s="209">
        <v>45775</v>
      </c>
      <c r="E63" s="210">
        <v>134</v>
      </c>
      <c r="F63" s="207">
        <v>3</v>
      </c>
      <c r="G63" s="201" t="s">
        <v>22</v>
      </c>
      <c r="H63" s="211"/>
      <c r="I63" s="211" t="s">
        <v>26</v>
      </c>
      <c r="J63" s="212"/>
      <c r="K63" s="213"/>
      <c r="L63" s="214"/>
      <c r="M63" s="257"/>
    </row>
    <row r="64" spans="1:23" ht="19.5" customHeight="1" x14ac:dyDescent="0.25">
      <c r="A64" s="8" t="s">
        <v>36</v>
      </c>
      <c r="B64" s="9"/>
      <c r="C64" s="9"/>
      <c r="D64" s="9"/>
      <c r="E64" s="9"/>
      <c r="F64" s="9"/>
      <c r="G64" s="215"/>
      <c r="H64" s="9"/>
      <c r="I64" s="9"/>
      <c r="J64" s="9"/>
      <c r="K64" s="9"/>
      <c r="L64" s="216"/>
      <c r="M64" s="10"/>
    </row>
    <row r="65" spans="1:13" ht="19.5" customHeight="1" x14ac:dyDescent="0.25">
      <c r="A65" s="8" t="s">
        <v>37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217"/>
      <c r="M65" s="218"/>
    </row>
    <row r="66" spans="1:13" ht="19.5" customHeight="1" x14ac:dyDescent="0.25">
      <c r="A66" s="8" t="s">
        <v>38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217"/>
      <c r="M66" s="10"/>
    </row>
    <row r="67" spans="1:13" ht="15" customHeight="1" x14ac:dyDescent="0.2">
      <c r="A67" s="219" t="s">
        <v>57</v>
      </c>
      <c r="B67" s="220"/>
      <c r="C67" s="220"/>
      <c r="D67" s="10"/>
      <c r="E67" s="10"/>
      <c r="F67" s="10"/>
      <c r="G67" s="220"/>
      <c r="H67" s="220"/>
      <c r="I67" s="220"/>
      <c r="J67" s="220"/>
      <c r="K67" s="220"/>
      <c r="L67" s="220"/>
      <c r="M67" s="222"/>
    </row>
    <row r="68" spans="1:13" ht="15" customHeight="1" x14ac:dyDescent="0.2">
      <c r="H68" s="5"/>
      <c r="M68" s="6"/>
    </row>
    <row r="69" spans="1:13" ht="15" customHeight="1" x14ac:dyDescent="0.2">
      <c r="H69" s="5"/>
      <c r="M69" s="4"/>
    </row>
    <row r="70" spans="1:13" ht="15" customHeight="1" x14ac:dyDescent="0.2">
      <c r="H70" s="5"/>
    </row>
    <row r="71" spans="1:13" ht="15" customHeight="1" x14ac:dyDescent="0.2"/>
    <row r="72" spans="1:13" ht="15" customHeight="1" x14ac:dyDescent="0.2"/>
    <row r="73" spans="1:13" ht="15" customHeight="1" x14ac:dyDescent="0.2"/>
    <row r="74" spans="1:13" ht="15" customHeight="1" x14ac:dyDescent="0.2"/>
    <row r="75" spans="1:13" ht="15" customHeight="1" x14ac:dyDescent="0.2"/>
  </sheetData>
  <mergeCells count="8">
    <mergeCell ref="M39:M51"/>
    <mergeCell ref="M52:M63"/>
    <mergeCell ref="A1:P1"/>
    <mergeCell ref="M3:M15"/>
    <mergeCell ref="M16:M21"/>
    <mergeCell ref="M22:M24"/>
    <mergeCell ref="M25:M33"/>
    <mergeCell ref="M34:M38"/>
  </mergeCells>
  <dataValidations count="2">
    <dataValidation type="list" allowBlank="1" showInputMessage="1" showErrorMessage="1" sqref="G3:G63" xr:uid="{B6D5C3A0-9CFD-4488-8096-857BC1822CBE}">
      <formula1>"Not Processed, No Smelt Catch, Dropped, Longfin Smelt, Delta Smelt"</formula1>
    </dataValidation>
    <dataValidation type="list" allowBlank="1" showInputMessage="1" showErrorMessage="1" sqref="I3:I63" xr:uid="{65CF9877-A047-430C-8BB6-F068367A54E3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6EE2-AC05-4513-AED5-F3823F6D8CD4}">
  <dimension ref="A1:W75"/>
  <sheetViews>
    <sheetView topLeftCell="A54" workbookViewId="0">
      <selection activeCell="A3" sqref="A3:L67"/>
    </sheetView>
  </sheetViews>
  <sheetFormatPr defaultColWidth="9.140625" defaultRowHeight="12.75" x14ac:dyDescent="0.2"/>
  <cols>
    <col min="1" max="1" width="5.85546875" style="1" customWidth="1"/>
    <col min="2" max="2" width="7.7109375" style="1" customWidth="1"/>
    <col min="3" max="4" width="8.5703125" style="1" customWidth="1"/>
    <col min="5" max="5" width="7.85546875" style="1" customWidth="1"/>
    <col min="6" max="6" width="11.85546875" style="1" customWidth="1"/>
    <col min="7" max="7" width="16.28515625" style="2" customWidth="1"/>
    <col min="8" max="8" width="7" style="1" customWidth="1"/>
    <col min="9" max="9" width="11.85546875" style="1" customWidth="1"/>
    <col min="10" max="10" width="8" style="1" customWidth="1"/>
    <col min="11" max="11" width="8.140625" style="1" customWidth="1"/>
    <col min="12" max="12" width="8" style="3" customWidth="1"/>
    <col min="13" max="13" width="7.7109375" style="1" customWidth="1"/>
    <col min="14" max="14" width="9.140625" style="1"/>
    <col min="15" max="15" width="13.42578125" style="1" customWidth="1"/>
    <col min="16" max="17" width="13.28515625" style="1" customWidth="1"/>
    <col min="18" max="18" width="16.42578125" style="1" customWidth="1"/>
    <col min="19" max="19" width="18.85546875" style="1" customWidth="1"/>
    <col min="20" max="16384" width="9.140625" style="1"/>
  </cols>
  <sheetData>
    <row r="1" spans="1:17" ht="63" customHeight="1" thickBot="1" x14ac:dyDescent="0.25">
      <c r="A1" s="252" t="s">
        <v>54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7" ht="35.25" customHeight="1" thickBo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15</v>
      </c>
      <c r="F2" s="11" t="s">
        <v>4</v>
      </c>
      <c r="G2" s="11" t="s">
        <v>12</v>
      </c>
      <c r="H2" s="11" t="s">
        <v>5</v>
      </c>
      <c r="I2" s="11" t="s">
        <v>14</v>
      </c>
      <c r="J2" s="12" t="s">
        <v>9</v>
      </c>
      <c r="K2" s="13" t="s">
        <v>10</v>
      </c>
      <c r="L2" s="14" t="s">
        <v>11</v>
      </c>
      <c r="M2" s="15"/>
    </row>
    <row r="3" spans="1:17" ht="19.5" customHeight="1" thickBot="1" x14ac:dyDescent="0.25">
      <c r="A3" s="16">
        <v>2025</v>
      </c>
      <c r="B3" s="16">
        <v>5</v>
      </c>
      <c r="C3" s="16">
        <v>306</v>
      </c>
      <c r="D3" s="17"/>
      <c r="E3" s="18"/>
      <c r="F3" s="16">
        <v>0</v>
      </c>
      <c r="G3" s="16" t="s">
        <v>13</v>
      </c>
      <c r="H3" s="19"/>
      <c r="I3" s="18"/>
      <c r="J3" s="20"/>
      <c r="K3" s="21"/>
      <c r="L3" s="22"/>
      <c r="M3" s="254" t="s">
        <v>18</v>
      </c>
      <c r="Q3"/>
    </row>
    <row r="4" spans="1:17" ht="19.5" customHeight="1" thickBot="1" x14ac:dyDescent="0.25">
      <c r="A4" s="23">
        <v>2025</v>
      </c>
      <c r="B4" s="24">
        <f t="shared" ref="B4:B15" si="0">B3</f>
        <v>5</v>
      </c>
      <c r="C4" s="23">
        <v>308</v>
      </c>
      <c r="D4" s="25"/>
      <c r="E4" s="26"/>
      <c r="F4" s="23">
        <v>0</v>
      </c>
      <c r="G4" s="27" t="s">
        <v>13</v>
      </c>
      <c r="H4" s="28"/>
      <c r="I4" s="26"/>
      <c r="J4" s="29"/>
      <c r="K4" s="30"/>
      <c r="L4" s="31"/>
      <c r="M4" s="254"/>
      <c r="Q4"/>
    </row>
    <row r="5" spans="1:17" ht="19.5" customHeight="1" thickBot="1" x14ac:dyDescent="0.25">
      <c r="A5" s="23">
        <v>2025</v>
      </c>
      <c r="B5" s="24">
        <f t="shared" si="0"/>
        <v>5</v>
      </c>
      <c r="C5" s="23">
        <v>311</v>
      </c>
      <c r="D5" s="25"/>
      <c r="E5" s="26"/>
      <c r="F5" s="23">
        <v>0</v>
      </c>
      <c r="G5" s="27" t="s">
        <v>13</v>
      </c>
      <c r="H5" s="28"/>
      <c r="I5" s="26"/>
      <c r="J5" s="29"/>
      <c r="K5" s="30"/>
      <c r="L5" s="31"/>
      <c r="M5" s="254"/>
      <c r="Q5"/>
    </row>
    <row r="6" spans="1:17" ht="19.5" customHeight="1" thickBot="1" x14ac:dyDescent="0.25">
      <c r="A6" s="23">
        <v>2025</v>
      </c>
      <c r="B6" s="24">
        <f t="shared" si="0"/>
        <v>5</v>
      </c>
      <c r="C6" s="23">
        <v>315</v>
      </c>
      <c r="D6" s="25"/>
      <c r="E6" s="26"/>
      <c r="F6" s="23">
        <v>0</v>
      </c>
      <c r="G6" s="27" t="s">
        <v>13</v>
      </c>
      <c r="H6" s="28"/>
      <c r="I6" s="26"/>
      <c r="J6" s="29"/>
      <c r="K6" s="30"/>
      <c r="L6" s="31"/>
      <c r="M6" s="254"/>
      <c r="Q6"/>
    </row>
    <row r="7" spans="1:17" ht="19.5" customHeight="1" thickBot="1" x14ac:dyDescent="0.25">
      <c r="A7" s="23">
        <v>2025</v>
      </c>
      <c r="B7" s="24">
        <f t="shared" si="0"/>
        <v>5</v>
      </c>
      <c r="C7" s="23">
        <v>322</v>
      </c>
      <c r="D7" s="25"/>
      <c r="E7" s="26"/>
      <c r="F7" s="23">
        <v>0</v>
      </c>
      <c r="G7" s="27" t="s">
        <v>13</v>
      </c>
      <c r="H7" s="28"/>
      <c r="I7" s="26"/>
      <c r="J7" s="29"/>
      <c r="K7" s="30"/>
      <c r="L7" s="31"/>
      <c r="M7" s="254"/>
      <c r="Q7"/>
    </row>
    <row r="8" spans="1:17" ht="19.5" customHeight="1" thickBot="1" x14ac:dyDescent="0.25">
      <c r="A8" s="23">
        <v>2025</v>
      </c>
      <c r="B8" s="24">
        <f t="shared" si="0"/>
        <v>5</v>
      </c>
      <c r="C8" s="23">
        <v>323</v>
      </c>
      <c r="D8" s="25"/>
      <c r="E8" s="26"/>
      <c r="F8" s="23">
        <v>0</v>
      </c>
      <c r="G8" s="27" t="s">
        <v>13</v>
      </c>
      <c r="H8" s="28"/>
      <c r="I8" s="26"/>
      <c r="J8" s="29"/>
      <c r="K8" s="30"/>
      <c r="L8" s="31"/>
      <c r="M8" s="254"/>
      <c r="Q8"/>
    </row>
    <row r="9" spans="1:17" ht="19.5" customHeight="1" thickBot="1" x14ac:dyDescent="0.25">
      <c r="A9" s="23">
        <v>2025</v>
      </c>
      <c r="B9" s="24">
        <f t="shared" si="0"/>
        <v>5</v>
      </c>
      <c r="C9" s="23">
        <v>327</v>
      </c>
      <c r="D9" s="25"/>
      <c r="E9" s="26"/>
      <c r="F9" s="23">
        <v>0</v>
      </c>
      <c r="G9" s="27" t="s">
        <v>13</v>
      </c>
      <c r="H9" s="28"/>
      <c r="I9" s="26"/>
      <c r="J9" s="29"/>
      <c r="K9" s="30"/>
      <c r="L9" s="31"/>
      <c r="M9" s="254"/>
      <c r="Q9"/>
    </row>
    <row r="10" spans="1:17" ht="19.5" customHeight="1" thickBot="1" x14ac:dyDescent="0.25">
      <c r="A10" s="23">
        <v>2025</v>
      </c>
      <c r="B10" s="24">
        <f t="shared" si="0"/>
        <v>5</v>
      </c>
      <c r="C10" s="23">
        <v>328</v>
      </c>
      <c r="D10" s="25"/>
      <c r="E10" s="26"/>
      <c r="F10" s="23">
        <v>0</v>
      </c>
      <c r="G10" s="27" t="s">
        <v>13</v>
      </c>
      <c r="H10" s="28"/>
      <c r="I10" s="26"/>
      <c r="J10" s="29"/>
      <c r="K10" s="30"/>
      <c r="L10" s="31"/>
      <c r="M10" s="254"/>
      <c r="Q10"/>
    </row>
    <row r="11" spans="1:17" ht="19.5" customHeight="1" thickBot="1" x14ac:dyDescent="0.25">
      <c r="A11" s="23">
        <v>2025</v>
      </c>
      <c r="B11" s="24">
        <f t="shared" si="0"/>
        <v>5</v>
      </c>
      <c r="C11" s="23">
        <v>329</v>
      </c>
      <c r="D11" s="25"/>
      <c r="E11" s="26"/>
      <c r="F11" s="23">
        <v>0</v>
      </c>
      <c r="G11" s="27" t="s">
        <v>13</v>
      </c>
      <c r="H11" s="28"/>
      <c r="I11" s="26"/>
      <c r="J11" s="29"/>
      <c r="K11" s="30"/>
      <c r="L11" s="31"/>
      <c r="M11" s="254"/>
      <c r="Q11"/>
    </row>
    <row r="12" spans="1:17" ht="19.5" customHeight="1" thickBot="1" x14ac:dyDescent="0.25">
      <c r="A12" s="23">
        <v>2025</v>
      </c>
      <c r="B12" s="24">
        <f t="shared" si="0"/>
        <v>5</v>
      </c>
      <c r="C12" s="23">
        <v>330</v>
      </c>
      <c r="D12" s="25"/>
      <c r="E12" s="26"/>
      <c r="F12" s="23">
        <v>0</v>
      </c>
      <c r="G12" s="27" t="s">
        <v>13</v>
      </c>
      <c r="H12" s="28"/>
      <c r="I12" s="26"/>
      <c r="J12" s="29"/>
      <c r="K12" s="30"/>
      <c r="L12" s="31"/>
      <c r="M12" s="254"/>
      <c r="Q12"/>
    </row>
    <row r="13" spans="1:17" ht="19.5" customHeight="1" thickBot="1" x14ac:dyDescent="0.25">
      <c r="A13" s="23">
        <v>2025</v>
      </c>
      <c r="B13" s="24">
        <f t="shared" si="0"/>
        <v>5</v>
      </c>
      <c r="C13" s="23">
        <v>335</v>
      </c>
      <c r="D13" s="25"/>
      <c r="E13" s="26"/>
      <c r="F13" s="23">
        <v>0</v>
      </c>
      <c r="G13" s="27" t="s">
        <v>13</v>
      </c>
      <c r="H13" s="28"/>
      <c r="I13" s="26"/>
      <c r="J13" s="29"/>
      <c r="K13" s="30"/>
      <c r="L13" s="31"/>
      <c r="M13" s="254"/>
      <c r="Q13"/>
    </row>
    <row r="14" spans="1:17" ht="19.5" customHeight="1" thickBot="1" x14ac:dyDescent="0.25">
      <c r="A14" s="23">
        <v>2025</v>
      </c>
      <c r="B14" s="24">
        <f t="shared" si="0"/>
        <v>5</v>
      </c>
      <c r="C14" s="23">
        <v>336</v>
      </c>
      <c r="D14" s="25"/>
      <c r="E14" s="26"/>
      <c r="F14" s="23">
        <v>0</v>
      </c>
      <c r="G14" s="27" t="s">
        <v>13</v>
      </c>
      <c r="H14" s="28"/>
      <c r="I14" s="26"/>
      <c r="J14" s="29"/>
      <c r="K14" s="30"/>
      <c r="L14" s="31"/>
      <c r="M14" s="254"/>
      <c r="Q14"/>
    </row>
    <row r="15" spans="1:17" ht="19.5" customHeight="1" thickBot="1" x14ac:dyDescent="0.25">
      <c r="A15" s="32">
        <v>2025</v>
      </c>
      <c r="B15" s="24">
        <f t="shared" si="0"/>
        <v>5</v>
      </c>
      <c r="C15" s="32">
        <v>338</v>
      </c>
      <c r="D15" s="33"/>
      <c r="E15" s="34"/>
      <c r="F15" s="32">
        <v>0</v>
      </c>
      <c r="G15" s="27" t="s">
        <v>13</v>
      </c>
      <c r="H15" s="35"/>
      <c r="I15" s="34"/>
      <c r="J15" s="36"/>
      <c r="K15" s="37"/>
      <c r="L15" s="38"/>
      <c r="M15" s="254"/>
      <c r="Q15"/>
    </row>
    <row r="16" spans="1:17" ht="19.5" customHeight="1" thickBot="1" x14ac:dyDescent="0.25">
      <c r="A16" s="39">
        <v>2025</v>
      </c>
      <c r="B16" s="40">
        <f>B3</f>
        <v>5</v>
      </c>
      <c r="C16" s="39">
        <v>340</v>
      </c>
      <c r="D16" s="41"/>
      <c r="E16" s="42"/>
      <c r="F16" s="39">
        <v>0</v>
      </c>
      <c r="G16" s="39" t="s">
        <v>13</v>
      </c>
      <c r="H16" s="43"/>
      <c r="I16" s="43"/>
      <c r="J16" s="44"/>
      <c r="K16" s="45"/>
      <c r="L16" s="46"/>
      <c r="M16" s="255" t="s">
        <v>16</v>
      </c>
      <c r="Q16"/>
    </row>
    <row r="17" spans="1:23" ht="19.5" customHeight="1" thickBot="1" x14ac:dyDescent="0.25">
      <c r="A17" s="47">
        <v>2025</v>
      </c>
      <c r="B17" s="47">
        <f>B3</f>
        <v>5</v>
      </c>
      <c r="C17" s="48">
        <v>342</v>
      </c>
      <c r="D17" s="49"/>
      <c r="E17" s="50"/>
      <c r="F17" s="48">
        <v>0</v>
      </c>
      <c r="G17" s="48" t="s">
        <v>13</v>
      </c>
      <c r="H17" s="51"/>
      <c r="I17" s="51"/>
      <c r="J17" s="52"/>
      <c r="K17" s="53"/>
      <c r="L17" s="54"/>
      <c r="M17" s="255"/>
      <c r="Q17"/>
    </row>
    <row r="18" spans="1:23" ht="19.5" customHeight="1" thickBot="1" x14ac:dyDescent="0.25">
      <c r="A18" s="47">
        <v>2025</v>
      </c>
      <c r="B18" s="47">
        <f>B3</f>
        <v>5</v>
      </c>
      <c r="C18" s="48">
        <v>343</v>
      </c>
      <c r="D18" s="49"/>
      <c r="E18" s="50"/>
      <c r="F18" s="48">
        <v>0</v>
      </c>
      <c r="G18" s="48" t="s">
        <v>13</v>
      </c>
      <c r="H18" s="51"/>
      <c r="I18" s="51"/>
      <c r="J18" s="52"/>
      <c r="K18" s="53"/>
      <c r="L18" s="54"/>
      <c r="M18" s="255"/>
      <c r="Q18"/>
    </row>
    <row r="19" spans="1:23" ht="19.5" customHeight="1" thickBot="1" x14ac:dyDescent="0.25">
      <c r="A19" s="47">
        <v>2025</v>
      </c>
      <c r="B19" s="47">
        <f>B4</f>
        <v>5</v>
      </c>
      <c r="C19" s="48">
        <v>344</v>
      </c>
      <c r="D19" s="49"/>
      <c r="E19" s="50"/>
      <c r="F19" s="48">
        <v>0</v>
      </c>
      <c r="G19" s="48" t="s">
        <v>13</v>
      </c>
      <c r="H19" s="51"/>
      <c r="I19" s="51"/>
      <c r="J19" s="52"/>
      <c r="K19" s="53"/>
      <c r="L19" s="54"/>
      <c r="M19" s="255"/>
      <c r="N19" s="7"/>
      <c r="O19" s="7"/>
      <c r="W19"/>
    </row>
    <row r="20" spans="1:23" ht="19.5" customHeight="1" thickBot="1" x14ac:dyDescent="0.25">
      <c r="A20" s="47">
        <v>2025</v>
      </c>
      <c r="B20" s="47">
        <f>B5</f>
        <v>5</v>
      </c>
      <c r="C20" s="48">
        <v>345</v>
      </c>
      <c r="D20" s="49"/>
      <c r="E20" s="50"/>
      <c r="F20" s="48">
        <v>0</v>
      </c>
      <c r="G20" s="48" t="s">
        <v>13</v>
      </c>
      <c r="H20" s="51"/>
      <c r="I20" s="51"/>
      <c r="J20" s="52"/>
      <c r="K20" s="53"/>
      <c r="L20" s="54"/>
      <c r="M20" s="255"/>
      <c r="N20" s="7"/>
      <c r="O20" s="7"/>
      <c r="W20"/>
    </row>
    <row r="21" spans="1:23" ht="19.5" customHeight="1" thickBot="1" x14ac:dyDescent="0.25">
      <c r="A21" s="55">
        <v>2025</v>
      </c>
      <c r="B21" s="56">
        <f>B6</f>
        <v>5</v>
      </c>
      <c r="C21" s="57">
        <v>346</v>
      </c>
      <c r="D21" s="58"/>
      <c r="E21" s="59"/>
      <c r="F21" s="57">
        <v>0</v>
      </c>
      <c r="G21" s="57" t="s">
        <v>13</v>
      </c>
      <c r="H21" s="60"/>
      <c r="I21" s="60"/>
      <c r="J21" s="61"/>
      <c r="K21" s="62"/>
      <c r="L21" s="63"/>
      <c r="M21" s="255"/>
      <c r="N21" s="7"/>
      <c r="O21" s="7"/>
      <c r="W21"/>
    </row>
    <row r="22" spans="1:23" ht="19.5" customHeight="1" thickBot="1" x14ac:dyDescent="0.25">
      <c r="A22" s="64">
        <v>2025</v>
      </c>
      <c r="B22" s="65">
        <f>B3</f>
        <v>5</v>
      </c>
      <c r="C22" s="64">
        <v>401</v>
      </c>
      <c r="D22" s="66"/>
      <c r="E22" s="67"/>
      <c r="F22" s="64">
        <v>0</v>
      </c>
      <c r="G22" s="64" t="s">
        <v>13</v>
      </c>
      <c r="H22" s="68"/>
      <c r="I22" s="68"/>
      <c r="J22" s="69"/>
      <c r="K22" s="70"/>
      <c r="L22" s="71"/>
      <c r="M22" s="259" t="s">
        <v>17</v>
      </c>
      <c r="N22" s="7"/>
      <c r="O22" s="7"/>
      <c r="W22"/>
    </row>
    <row r="23" spans="1:23" ht="19.5" customHeight="1" thickBot="1" x14ac:dyDescent="0.25">
      <c r="A23" s="64">
        <v>2025</v>
      </c>
      <c r="B23" s="72">
        <f>B3</f>
        <v>5</v>
      </c>
      <c r="C23" s="73">
        <v>404</v>
      </c>
      <c r="D23" s="74"/>
      <c r="E23" s="67"/>
      <c r="F23" s="64">
        <v>0</v>
      </c>
      <c r="G23" s="73" t="s">
        <v>13</v>
      </c>
      <c r="H23" s="75"/>
      <c r="I23" s="75"/>
      <c r="J23" s="76"/>
      <c r="K23" s="77"/>
      <c r="L23" s="78"/>
      <c r="M23" s="259"/>
      <c r="N23" s="7"/>
      <c r="O23" s="7"/>
      <c r="W23"/>
    </row>
    <row r="24" spans="1:23" ht="19.5" customHeight="1" thickBot="1" x14ac:dyDescent="0.25">
      <c r="A24" s="79">
        <v>2025</v>
      </c>
      <c r="B24" s="79">
        <f>B3</f>
        <v>5</v>
      </c>
      <c r="C24" s="80">
        <v>405</v>
      </c>
      <c r="D24" s="81"/>
      <c r="E24" s="82"/>
      <c r="F24" s="83">
        <v>0</v>
      </c>
      <c r="G24" s="80" t="s">
        <v>13</v>
      </c>
      <c r="H24" s="82"/>
      <c r="I24" s="82"/>
      <c r="J24" s="84"/>
      <c r="K24" s="85"/>
      <c r="L24" s="86"/>
      <c r="M24" s="259"/>
      <c r="N24" s="7"/>
      <c r="O24" s="7"/>
      <c r="W24"/>
    </row>
    <row r="25" spans="1:23" ht="19.5" customHeight="1" thickBot="1" x14ac:dyDescent="0.25">
      <c r="A25" s="87">
        <v>2025</v>
      </c>
      <c r="B25" s="87">
        <f>B3</f>
        <v>5</v>
      </c>
      <c r="C25" s="88">
        <v>411</v>
      </c>
      <c r="D25" s="89"/>
      <c r="E25" s="90"/>
      <c r="F25" s="91">
        <v>0</v>
      </c>
      <c r="G25" s="88" t="s">
        <v>13</v>
      </c>
      <c r="H25" s="90"/>
      <c r="I25" s="90"/>
      <c r="J25" s="92"/>
      <c r="K25" s="93"/>
      <c r="L25" s="94"/>
      <c r="M25" s="258" t="s">
        <v>19</v>
      </c>
      <c r="N25" s="7"/>
      <c r="O25" s="7"/>
      <c r="W25"/>
    </row>
    <row r="26" spans="1:23" ht="19.5" customHeight="1" thickBot="1" x14ac:dyDescent="0.25">
      <c r="A26" s="95">
        <v>2025</v>
      </c>
      <c r="B26" s="95">
        <f>B3</f>
        <v>5</v>
      </c>
      <c r="C26" s="96">
        <v>418</v>
      </c>
      <c r="D26" s="97"/>
      <c r="E26" s="98"/>
      <c r="F26" s="99">
        <v>0</v>
      </c>
      <c r="G26" s="96" t="s">
        <v>13</v>
      </c>
      <c r="H26" s="98"/>
      <c r="I26" s="98"/>
      <c r="J26" s="100"/>
      <c r="K26" s="101"/>
      <c r="L26" s="102"/>
      <c r="M26" s="258"/>
      <c r="N26" s="7"/>
      <c r="O26" s="7"/>
      <c r="W26"/>
    </row>
    <row r="27" spans="1:23" ht="19.5" customHeight="1" thickBot="1" x14ac:dyDescent="0.25">
      <c r="A27" s="95">
        <v>2025</v>
      </c>
      <c r="B27" s="95">
        <f>B3</f>
        <v>5</v>
      </c>
      <c r="C27" s="96">
        <v>501</v>
      </c>
      <c r="D27" s="103"/>
      <c r="E27" s="104"/>
      <c r="F27" s="99">
        <v>0</v>
      </c>
      <c r="G27" s="96" t="s">
        <v>13</v>
      </c>
      <c r="H27" s="98"/>
      <c r="I27" s="98"/>
      <c r="J27" s="100"/>
      <c r="K27" s="101"/>
      <c r="L27" s="102"/>
      <c r="M27" s="258"/>
      <c r="N27" s="7"/>
      <c r="O27" s="7"/>
      <c r="W27"/>
    </row>
    <row r="28" spans="1:23" ht="19.5" customHeight="1" thickBot="1" x14ac:dyDescent="0.25">
      <c r="A28" s="95">
        <v>2025</v>
      </c>
      <c r="B28" s="95">
        <f>B3</f>
        <v>5</v>
      </c>
      <c r="C28" s="96">
        <v>504</v>
      </c>
      <c r="D28" s="97"/>
      <c r="E28" s="98"/>
      <c r="F28" s="99">
        <v>0</v>
      </c>
      <c r="G28" s="96" t="s">
        <v>13</v>
      </c>
      <c r="H28" s="98"/>
      <c r="I28" s="98"/>
      <c r="J28" s="100"/>
      <c r="K28" s="101"/>
      <c r="L28" s="102"/>
      <c r="M28" s="258"/>
      <c r="N28" s="7"/>
      <c r="O28" s="7"/>
      <c r="W28"/>
    </row>
    <row r="29" spans="1:23" ht="19.5" customHeight="1" thickBot="1" x14ac:dyDescent="0.25">
      <c r="A29" s="95">
        <v>2025</v>
      </c>
      <c r="B29" s="95">
        <f>B3</f>
        <v>5</v>
      </c>
      <c r="C29" s="96">
        <v>519</v>
      </c>
      <c r="D29" s="97"/>
      <c r="E29" s="98"/>
      <c r="F29" s="99">
        <v>0</v>
      </c>
      <c r="G29" s="96" t="s">
        <v>13</v>
      </c>
      <c r="H29" s="98"/>
      <c r="I29" s="98"/>
      <c r="J29" s="100"/>
      <c r="K29" s="101"/>
      <c r="L29" s="102"/>
      <c r="M29" s="258"/>
      <c r="N29" s="7"/>
      <c r="O29" s="7"/>
      <c r="W29"/>
    </row>
    <row r="30" spans="1:23" ht="19.5" customHeight="1" thickBot="1" x14ac:dyDescent="0.25">
      <c r="A30" s="95">
        <v>2025</v>
      </c>
      <c r="B30" s="95">
        <f>B3</f>
        <v>5</v>
      </c>
      <c r="C30" s="96">
        <v>602</v>
      </c>
      <c r="D30" s="103"/>
      <c r="E30" s="104"/>
      <c r="F30" s="99">
        <v>0</v>
      </c>
      <c r="G30" s="96" t="s">
        <v>13</v>
      </c>
      <c r="H30" s="98"/>
      <c r="I30" s="98"/>
      <c r="J30" s="100"/>
      <c r="K30" s="101"/>
      <c r="L30" s="102"/>
      <c r="M30" s="258"/>
      <c r="N30" s="7"/>
      <c r="O30" s="7"/>
      <c r="W30"/>
    </row>
    <row r="31" spans="1:23" ht="19.5" customHeight="1" thickBot="1" x14ac:dyDescent="0.25">
      <c r="A31" s="95">
        <v>2025</v>
      </c>
      <c r="B31" s="95">
        <f>B3</f>
        <v>5</v>
      </c>
      <c r="C31" s="96">
        <v>606</v>
      </c>
      <c r="D31" s="97"/>
      <c r="E31" s="98"/>
      <c r="F31" s="99">
        <v>0</v>
      </c>
      <c r="G31" s="96" t="s">
        <v>13</v>
      </c>
      <c r="H31" s="98"/>
      <c r="I31" s="98"/>
      <c r="J31" s="100"/>
      <c r="K31" s="101"/>
      <c r="L31" s="102"/>
      <c r="M31" s="258"/>
      <c r="N31" s="7"/>
      <c r="O31" s="7"/>
      <c r="W31"/>
    </row>
    <row r="32" spans="1:23" ht="19.5" customHeight="1" thickBot="1" x14ac:dyDescent="0.25">
      <c r="A32" s="95">
        <v>2025</v>
      </c>
      <c r="B32" s="95">
        <f>B3</f>
        <v>5</v>
      </c>
      <c r="C32" s="96">
        <v>609</v>
      </c>
      <c r="D32" s="97"/>
      <c r="E32" s="98"/>
      <c r="F32" s="99">
        <v>0</v>
      </c>
      <c r="G32" s="96" t="s">
        <v>13</v>
      </c>
      <c r="H32" s="98"/>
      <c r="I32" s="98"/>
      <c r="J32" s="100"/>
      <c r="K32" s="101"/>
      <c r="L32" s="102"/>
      <c r="M32" s="258"/>
      <c r="N32" s="7"/>
      <c r="O32" s="7"/>
      <c r="W32"/>
    </row>
    <row r="33" spans="1:23" ht="19.5" customHeight="1" thickBot="1" x14ac:dyDescent="0.25">
      <c r="A33" s="105">
        <v>2025</v>
      </c>
      <c r="B33" s="106">
        <f>B3</f>
        <v>5</v>
      </c>
      <c r="C33" s="107">
        <v>610</v>
      </c>
      <c r="D33" s="108"/>
      <c r="E33" s="109"/>
      <c r="F33" s="110">
        <v>0</v>
      </c>
      <c r="G33" s="107" t="s">
        <v>13</v>
      </c>
      <c r="H33" s="111"/>
      <c r="I33" s="111"/>
      <c r="J33" s="112"/>
      <c r="K33" s="113"/>
      <c r="L33" s="114"/>
      <c r="M33" s="258"/>
      <c r="N33" s="7"/>
      <c r="O33" s="7"/>
      <c r="W33"/>
    </row>
    <row r="34" spans="1:23" ht="19.5" customHeight="1" thickBot="1" x14ac:dyDescent="0.25">
      <c r="A34" s="115">
        <v>2025</v>
      </c>
      <c r="B34" s="116">
        <f>B3</f>
        <v>5</v>
      </c>
      <c r="C34" s="117">
        <v>508</v>
      </c>
      <c r="D34" s="118"/>
      <c r="E34" s="119"/>
      <c r="F34" s="120">
        <v>0</v>
      </c>
      <c r="G34" s="121" t="s">
        <v>13</v>
      </c>
      <c r="H34" s="121"/>
      <c r="I34" s="121"/>
      <c r="J34" s="122"/>
      <c r="K34" s="123"/>
      <c r="L34" s="124"/>
      <c r="M34" s="256" t="s">
        <v>6</v>
      </c>
      <c r="N34" s="7"/>
      <c r="O34" s="7"/>
      <c r="W34"/>
    </row>
    <row r="35" spans="1:23" ht="19.5" customHeight="1" thickBot="1" x14ac:dyDescent="0.25">
      <c r="A35" s="116">
        <v>2025</v>
      </c>
      <c r="B35" s="116">
        <f>B3</f>
        <v>5</v>
      </c>
      <c r="C35" s="125">
        <v>513</v>
      </c>
      <c r="D35" s="126"/>
      <c r="E35" s="127"/>
      <c r="F35" s="128">
        <v>0</v>
      </c>
      <c r="G35" s="129" t="s">
        <v>13</v>
      </c>
      <c r="H35" s="129"/>
      <c r="I35" s="129"/>
      <c r="J35" s="130"/>
      <c r="K35" s="131"/>
      <c r="L35" s="132"/>
      <c r="M35" s="256"/>
      <c r="N35" s="7"/>
      <c r="O35" s="7"/>
      <c r="W35"/>
    </row>
    <row r="36" spans="1:23" ht="19.5" customHeight="1" thickBot="1" x14ac:dyDescent="0.25">
      <c r="A36" s="116">
        <v>2025</v>
      </c>
      <c r="B36" s="116">
        <f>B3</f>
        <v>5</v>
      </c>
      <c r="C36" s="125">
        <v>520</v>
      </c>
      <c r="D36" s="126"/>
      <c r="E36" s="127"/>
      <c r="F36" s="128">
        <v>0</v>
      </c>
      <c r="G36" s="129" t="s">
        <v>13</v>
      </c>
      <c r="H36" s="129"/>
      <c r="I36" s="129"/>
      <c r="J36" s="130"/>
      <c r="K36" s="131"/>
      <c r="L36" s="132"/>
      <c r="M36" s="256"/>
      <c r="N36" s="7"/>
      <c r="O36" s="7"/>
      <c r="W36"/>
    </row>
    <row r="37" spans="1:23" ht="19.5" customHeight="1" thickBot="1" x14ac:dyDescent="0.25">
      <c r="A37" s="116">
        <v>2025</v>
      </c>
      <c r="B37" s="116">
        <f>B3</f>
        <v>5</v>
      </c>
      <c r="C37" s="125">
        <v>801</v>
      </c>
      <c r="D37" s="126"/>
      <c r="E37" s="127"/>
      <c r="F37" s="128">
        <v>0</v>
      </c>
      <c r="G37" s="129" t="s">
        <v>13</v>
      </c>
      <c r="H37" s="129"/>
      <c r="I37" s="129"/>
      <c r="J37" s="130"/>
      <c r="K37" s="131"/>
      <c r="L37" s="132"/>
      <c r="M37" s="256"/>
      <c r="N37" s="7"/>
      <c r="O37" s="7"/>
      <c r="W37"/>
    </row>
    <row r="38" spans="1:23" ht="19.5" customHeight="1" thickBot="1" x14ac:dyDescent="0.25">
      <c r="A38" s="116">
        <v>2025</v>
      </c>
      <c r="B38" s="133">
        <f>B3</f>
        <v>5</v>
      </c>
      <c r="C38" s="134">
        <v>804</v>
      </c>
      <c r="D38" s="135"/>
      <c r="E38" s="136"/>
      <c r="F38" s="137">
        <v>0</v>
      </c>
      <c r="G38" s="138" t="s">
        <v>13</v>
      </c>
      <c r="H38" s="138"/>
      <c r="I38" s="138"/>
      <c r="J38" s="139"/>
      <c r="K38" s="140"/>
      <c r="L38" s="141"/>
      <c r="M38" s="256"/>
      <c r="N38" s="7"/>
      <c r="O38" s="7"/>
      <c r="W38"/>
    </row>
    <row r="39" spans="1:23" ht="19.5" customHeight="1" x14ac:dyDescent="0.2">
      <c r="A39" s="142">
        <v>2025</v>
      </c>
      <c r="B39" s="142">
        <f>B3</f>
        <v>5</v>
      </c>
      <c r="C39" s="143">
        <v>703</v>
      </c>
      <c r="D39" s="144"/>
      <c r="E39" s="145"/>
      <c r="F39" s="146">
        <v>0</v>
      </c>
      <c r="G39" s="147" t="s">
        <v>13</v>
      </c>
      <c r="H39" s="148"/>
      <c r="I39" s="148"/>
      <c r="J39" s="149"/>
      <c r="K39" s="150"/>
      <c r="L39" s="151"/>
      <c r="M39" s="260" t="s">
        <v>7</v>
      </c>
      <c r="N39" s="7"/>
      <c r="O39" s="7"/>
      <c r="W39"/>
    </row>
    <row r="40" spans="1:23" ht="19.5" customHeight="1" x14ac:dyDescent="0.2">
      <c r="A40" s="152">
        <v>2025</v>
      </c>
      <c r="B40" s="152">
        <f>B3</f>
        <v>5</v>
      </c>
      <c r="C40" s="153">
        <v>704</v>
      </c>
      <c r="D40" s="154"/>
      <c r="E40" s="155"/>
      <c r="F40" s="147">
        <v>0</v>
      </c>
      <c r="G40" s="147" t="s">
        <v>13</v>
      </c>
      <c r="H40" s="156"/>
      <c r="I40" s="156"/>
      <c r="J40" s="157"/>
      <c r="K40" s="158"/>
      <c r="L40" s="159"/>
      <c r="M40" s="261"/>
      <c r="N40" s="7"/>
      <c r="O40" s="7"/>
      <c r="W40"/>
    </row>
    <row r="41" spans="1:23" ht="19.5" customHeight="1" x14ac:dyDescent="0.2">
      <c r="A41" s="152">
        <v>2025</v>
      </c>
      <c r="B41" s="152">
        <f>B3</f>
        <v>5</v>
      </c>
      <c r="C41" s="153">
        <v>705</v>
      </c>
      <c r="D41" s="154"/>
      <c r="E41" s="155"/>
      <c r="F41" s="147">
        <v>0</v>
      </c>
      <c r="G41" s="147" t="s">
        <v>13</v>
      </c>
      <c r="H41" s="156"/>
      <c r="I41" s="156"/>
      <c r="J41" s="157"/>
      <c r="K41" s="158"/>
      <c r="L41" s="159"/>
      <c r="M41" s="261"/>
      <c r="N41" s="7"/>
      <c r="O41" s="7"/>
      <c r="W41"/>
    </row>
    <row r="42" spans="1:23" ht="19.5" customHeight="1" x14ac:dyDescent="0.2">
      <c r="A42" s="152">
        <v>2025</v>
      </c>
      <c r="B42" s="152">
        <f>B3</f>
        <v>5</v>
      </c>
      <c r="C42" s="153">
        <v>706</v>
      </c>
      <c r="D42" s="154"/>
      <c r="E42" s="155"/>
      <c r="F42" s="147">
        <v>0</v>
      </c>
      <c r="G42" s="147" t="s">
        <v>13</v>
      </c>
      <c r="H42" s="156"/>
      <c r="I42" s="156"/>
      <c r="J42" s="157"/>
      <c r="K42" s="158"/>
      <c r="L42" s="159"/>
      <c r="M42" s="261"/>
      <c r="N42" s="7"/>
      <c r="O42" s="7"/>
      <c r="W42"/>
    </row>
    <row r="43" spans="1:23" ht="19.5" customHeight="1" x14ac:dyDescent="0.2">
      <c r="A43" s="152">
        <v>2025</v>
      </c>
      <c r="B43" s="152">
        <f>B3</f>
        <v>5</v>
      </c>
      <c r="C43" s="153">
        <v>707</v>
      </c>
      <c r="D43" s="154"/>
      <c r="E43" s="155"/>
      <c r="F43" s="147">
        <v>0</v>
      </c>
      <c r="G43" s="147" t="s">
        <v>13</v>
      </c>
      <c r="H43" s="156"/>
      <c r="I43" s="156"/>
      <c r="J43" s="157"/>
      <c r="K43" s="158"/>
      <c r="L43" s="159"/>
      <c r="M43" s="261"/>
      <c r="N43" s="7"/>
      <c r="O43" s="7"/>
      <c r="W43"/>
    </row>
    <row r="44" spans="1:23" ht="19.5" customHeight="1" x14ac:dyDescent="0.2">
      <c r="A44" s="152">
        <v>2025</v>
      </c>
      <c r="B44" s="152">
        <f>B3</f>
        <v>5</v>
      </c>
      <c r="C44" s="153">
        <v>711</v>
      </c>
      <c r="D44" s="154"/>
      <c r="E44" s="155"/>
      <c r="F44" s="147">
        <v>0</v>
      </c>
      <c r="G44" s="147" t="s">
        <v>13</v>
      </c>
      <c r="H44" s="156"/>
      <c r="I44" s="156"/>
      <c r="J44" s="157"/>
      <c r="K44" s="158"/>
      <c r="L44" s="159"/>
      <c r="M44" s="261"/>
      <c r="N44" s="7"/>
      <c r="O44" s="7"/>
      <c r="W44"/>
    </row>
    <row r="45" spans="1:23" ht="19.5" customHeight="1" x14ac:dyDescent="0.2">
      <c r="A45" s="160">
        <v>2025</v>
      </c>
      <c r="B45" s="160">
        <f>B3</f>
        <v>5</v>
      </c>
      <c r="C45" s="161">
        <v>716</v>
      </c>
      <c r="D45" s="162"/>
      <c r="E45" s="163"/>
      <c r="F45" s="164">
        <v>0</v>
      </c>
      <c r="G45" s="165" t="s">
        <v>13</v>
      </c>
      <c r="H45" s="163"/>
      <c r="I45" s="163"/>
      <c r="J45" s="166"/>
      <c r="K45" s="167"/>
      <c r="L45" s="168"/>
      <c r="M45" s="261"/>
      <c r="N45" s="7"/>
      <c r="O45" s="7"/>
      <c r="W45"/>
    </row>
    <row r="46" spans="1:23" ht="19.5" customHeight="1" x14ac:dyDescent="0.2">
      <c r="A46" s="152">
        <v>2025</v>
      </c>
      <c r="B46" s="152">
        <f>B3</f>
        <v>5</v>
      </c>
      <c r="C46" s="153">
        <v>718</v>
      </c>
      <c r="D46" s="154"/>
      <c r="E46" s="155"/>
      <c r="F46" s="147">
        <v>0</v>
      </c>
      <c r="G46" s="147" t="s">
        <v>13</v>
      </c>
      <c r="H46" s="155"/>
      <c r="I46" s="156"/>
      <c r="J46" s="169"/>
      <c r="K46" s="170"/>
      <c r="L46" s="171"/>
      <c r="M46" s="261"/>
      <c r="N46" s="7"/>
      <c r="O46" s="7"/>
      <c r="W46"/>
    </row>
    <row r="47" spans="1:23" ht="19.5" customHeight="1" x14ac:dyDescent="0.2">
      <c r="A47" s="152">
        <v>2025</v>
      </c>
      <c r="B47" s="152">
        <f>B3</f>
        <v>5</v>
      </c>
      <c r="C47" s="153">
        <v>719</v>
      </c>
      <c r="D47" s="154"/>
      <c r="E47" s="155"/>
      <c r="F47" s="147">
        <v>0</v>
      </c>
      <c r="G47" s="147" t="s">
        <v>13</v>
      </c>
      <c r="H47" s="156"/>
      <c r="I47" s="156"/>
      <c r="J47" s="157"/>
      <c r="K47" s="158"/>
      <c r="L47" s="159"/>
      <c r="M47" s="261"/>
      <c r="N47" s="7"/>
      <c r="O47" s="7"/>
      <c r="W47"/>
    </row>
    <row r="48" spans="1:23" ht="19.5" customHeight="1" x14ac:dyDescent="0.2">
      <c r="A48" s="152">
        <v>2025</v>
      </c>
      <c r="B48" s="152">
        <f>B3</f>
        <v>5</v>
      </c>
      <c r="C48" s="153">
        <v>720</v>
      </c>
      <c r="D48" s="154"/>
      <c r="E48" s="155"/>
      <c r="F48" s="147">
        <v>0</v>
      </c>
      <c r="G48" s="147" t="s">
        <v>13</v>
      </c>
      <c r="H48" s="156"/>
      <c r="I48" s="156"/>
      <c r="J48" s="157"/>
      <c r="K48" s="158"/>
      <c r="L48" s="159"/>
      <c r="M48" s="261"/>
      <c r="N48" s="7"/>
      <c r="O48" s="7"/>
      <c r="W48"/>
    </row>
    <row r="49" spans="1:23" ht="19.5" customHeight="1" x14ac:dyDescent="0.2">
      <c r="A49" s="152">
        <v>2025</v>
      </c>
      <c r="B49" s="152">
        <f>B3</f>
        <v>5</v>
      </c>
      <c r="C49" s="153">
        <v>723</v>
      </c>
      <c r="D49" s="154"/>
      <c r="E49" s="155"/>
      <c r="F49" s="147">
        <v>0</v>
      </c>
      <c r="G49" s="147" t="s">
        <v>13</v>
      </c>
      <c r="H49" s="155"/>
      <c r="I49" s="156"/>
      <c r="J49" s="169"/>
      <c r="K49" s="170"/>
      <c r="L49" s="171"/>
      <c r="M49" s="261"/>
      <c r="N49" s="7"/>
      <c r="O49" s="7"/>
      <c r="W49"/>
    </row>
    <row r="50" spans="1:23" ht="19.5" customHeight="1" x14ac:dyDescent="0.2">
      <c r="A50" s="152">
        <v>2025</v>
      </c>
      <c r="B50" s="152">
        <f>B3</f>
        <v>5</v>
      </c>
      <c r="C50" s="153">
        <v>724</v>
      </c>
      <c r="D50" s="154"/>
      <c r="E50" s="155"/>
      <c r="F50" s="147">
        <v>0</v>
      </c>
      <c r="G50" s="147" t="s">
        <v>13</v>
      </c>
      <c r="H50" s="156"/>
      <c r="I50" s="156"/>
      <c r="J50" s="157"/>
      <c r="K50" s="158"/>
      <c r="L50" s="159"/>
      <c r="M50" s="261"/>
      <c r="N50" s="7"/>
      <c r="O50" s="7"/>
      <c r="W50"/>
    </row>
    <row r="51" spans="1:23" ht="19.5" customHeight="1" thickBot="1" x14ac:dyDescent="0.25">
      <c r="A51" s="172">
        <v>2025</v>
      </c>
      <c r="B51" s="172">
        <f>B3</f>
        <v>5</v>
      </c>
      <c r="C51" s="173">
        <v>726</v>
      </c>
      <c r="D51" s="174"/>
      <c r="E51" s="175"/>
      <c r="F51" s="176">
        <v>0</v>
      </c>
      <c r="G51" s="147" t="s">
        <v>13</v>
      </c>
      <c r="H51" s="177"/>
      <c r="I51" s="177"/>
      <c r="J51" s="178"/>
      <c r="K51" s="179"/>
      <c r="L51" s="180"/>
      <c r="M51" s="262"/>
      <c r="N51" s="7"/>
      <c r="O51" s="7"/>
      <c r="W51"/>
    </row>
    <row r="52" spans="1:23" ht="19.5" customHeight="1" thickBot="1" x14ac:dyDescent="0.3">
      <c r="A52" s="181">
        <v>2025</v>
      </c>
      <c r="B52" s="181">
        <f>B3</f>
        <v>5</v>
      </c>
      <c r="C52" s="182" t="s">
        <v>55</v>
      </c>
      <c r="D52" s="183">
        <v>45789</v>
      </c>
      <c r="E52" s="184">
        <v>95</v>
      </c>
      <c r="F52" s="181">
        <v>3</v>
      </c>
      <c r="G52" s="182" t="s">
        <v>22</v>
      </c>
      <c r="H52" s="185"/>
      <c r="I52" s="185" t="s">
        <v>26</v>
      </c>
      <c r="J52" s="186"/>
      <c r="K52" s="187"/>
      <c r="L52" s="188"/>
      <c r="M52" s="257" t="s">
        <v>8</v>
      </c>
      <c r="N52" s="7"/>
      <c r="O52" s="7"/>
      <c r="W52"/>
    </row>
    <row r="53" spans="1:23" ht="19.5" customHeight="1" thickBot="1" x14ac:dyDescent="0.25">
      <c r="A53" s="189">
        <v>2025</v>
      </c>
      <c r="B53" s="189">
        <f>B3</f>
        <v>5</v>
      </c>
      <c r="C53" s="190">
        <v>812</v>
      </c>
      <c r="D53" s="191">
        <v>45789</v>
      </c>
      <c r="E53" s="192">
        <v>121</v>
      </c>
      <c r="F53" s="189">
        <v>3</v>
      </c>
      <c r="G53" s="190" t="s">
        <v>22</v>
      </c>
      <c r="H53" s="193"/>
      <c r="I53" s="193" t="s">
        <v>26</v>
      </c>
      <c r="J53" s="194"/>
      <c r="K53" s="195"/>
      <c r="L53" s="196"/>
      <c r="M53" s="257"/>
      <c r="N53" s="7"/>
      <c r="O53" s="7"/>
      <c r="W53"/>
    </row>
    <row r="54" spans="1:23" ht="19.5" customHeight="1" thickBot="1" x14ac:dyDescent="0.25">
      <c r="A54" s="197">
        <v>2025</v>
      </c>
      <c r="B54" s="197">
        <f>B3</f>
        <v>5</v>
      </c>
      <c r="C54" s="198">
        <v>815</v>
      </c>
      <c r="D54" s="199">
        <v>45789</v>
      </c>
      <c r="E54" s="200">
        <v>127</v>
      </c>
      <c r="F54" s="197">
        <v>3</v>
      </c>
      <c r="G54" s="201" t="s">
        <v>22</v>
      </c>
      <c r="H54" s="202"/>
      <c r="I54" s="202" t="s">
        <v>26</v>
      </c>
      <c r="J54" s="203"/>
      <c r="K54" s="204"/>
      <c r="L54" s="205"/>
      <c r="M54" s="257"/>
      <c r="N54" s="7"/>
      <c r="O54" s="7"/>
      <c r="W54"/>
    </row>
    <row r="55" spans="1:23" ht="19.5" customHeight="1" thickBot="1" x14ac:dyDescent="0.3">
      <c r="A55" s="197">
        <v>2025</v>
      </c>
      <c r="B55" s="197">
        <f>B3</f>
        <v>5</v>
      </c>
      <c r="C55" s="198" t="s">
        <v>56</v>
      </c>
      <c r="D55" s="206">
        <v>45790</v>
      </c>
      <c r="E55" s="200">
        <v>167</v>
      </c>
      <c r="F55" s="197">
        <v>3</v>
      </c>
      <c r="G55" s="201" t="s">
        <v>22</v>
      </c>
      <c r="H55" s="202"/>
      <c r="I55" s="202" t="s">
        <v>26</v>
      </c>
      <c r="J55" s="203"/>
      <c r="K55" s="204"/>
      <c r="L55" s="205"/>
      <c r="M55" s="257"/>
      <c r="N55" s="7"/>
      <c r="O55" s="7"/>
      <c r="W55"/>
    </row>
    <row r="56" spans="1:23" ht="19.5" customHeight="1" thickBot="1" x14ac:dyDescent="0.25">
      <c r="A56" s="197">
        <v>2025</v>
      </c>
      <c r="B56" s="197">
        <f>B3</f>
        <v>5</v>
      </c>
      <c r="C56" s="198">
        <v>902</v>
      </c>
      <c r="D56" s="206">
        <v>45790</v>
      </c>
      <c r="E56" s="200">
        <v>151</v>
      </c>
      <c r="F56" s="197">
        <v>0</v>
      </c>
      <c r="G56" s="201" t="s">
        <v>13</v>
      </c>
      <c r="H56" s="202"/>
      <c r="I56" s="202"/>
      <c r="J56" s="203"/>
      <c r="K56" s="204"/>
      <c r="L56" s="205"/>
      <c r="M56" s="257"/>
      <c r="N56" s="7"/>
      <c r="O56" s="7"/>
      <c r="W56"/>
    </row>
    <row r="57" spans="1:23" ht="19.5" customHeight="1" thickBot="1" x14ac:dyDescent="0.25">
      <c r="A57" s="197">
        <v>2025</v>
      </c>
      <c r="B57" s="197">
        <f>B3</f>
        <v>5</v>
      </c>
      <c r="C57" s="198">
        <v>906</v>
      </c>
      <c r="D57" s="206">
        <v>45789</v>
      </c>
      <c r="E57" s="200">
        <v>200</v>
      </c>
      <c r="F57" s="197">
        <v>0</v>
      </c>
      <c r="G57" s="201" t="s">
        <v>13</v>
      </c>
      <c r="H57" s="202"/>
      <c r="I57" s="202"/>
      <c r="J57" s="203"/>
      <c r="K57" s="204"/>
      <c r="L57" s="205"/>
      <c r="M57" s="257"/>
      <c r="N57" s="7"/>
      <c r="O57" s="7"/>
      <c r="W57"/>
    </row>
    <row r="58" spans="1:23" ht="19.5" customHeight="1" thickBot="1" x14ac:dyDescent="0.25">
      <c r="A58" s="197">
        <v>2025</v>
      </c>
      <c r="B58" s="197">
        <f>B3</f>
        <v>5</v>
      </c>
      <c r="C58" s="198">
        <v>910</v>
      </c>
      <c r="D58" s="206">
        <v>45789</v>
      </c>
      <c r="E58" s="200">
        <v>182</v>
      </c>
      <c r="F58" s="197">
        <v>0</v>
      </c>
      <c r="G58" s="201" t="s">
        <v>13</v>
      </c>
      <c r="H58" s="202"/>
      <c r="I58" s="202"/>
      <c r="J58" s="203"/>
      <c r="K58" s="204"/>
      <c r="L58" s="205"/>
      <c r="M58" s="257"/>
      <c r="N58" s="7"/>
      <c r="O58" s="7"/>
      <c r="W58"/>
    </row>
    <row r="59" spans="1:23" ht="19.5" customHeight="1" thickBot="1" x14ac:dyDescent="0.25">
      <c r="A59" s="197">
        <v>2025</v>
      </c>
      <c r="B59" s="197">
        <f>B3</f>
        <v>5</v>
      </c>
      <c r="C59" s="198">
        <v>912</v>
      </c>
      <c r="D59" s="206">
        <v>45789</v>
      </c>
      <c r="E59" s="200">
        <v>135</v>
      </c>
      <c r="F59" s="197">
        <v>0</v>
      </c>
      <c r="G59" s="201" t="s">
        <v>13</v>
      </c>
      <c r="H59" s="202"/>
      <c r="I59" s="202"/>
      <c r="J59" s="203"/>
      <c r="K59" s="204"/>
      <c r="L59" s="205"/>
      <c r="M59" s="257"/>
      <c r="N59" s="7"/>
      <c r="O59" s="7"/>
      <c r="W59"/>
    </row>
    <row r="60" spans="1:23" ht="19.5" customHeight="1" thickBot="1" x14ac:dyDescent="0.25">
      <c r="A60" s="197">
        <v>2025</v>
      </c>
      <c r="B60" s="197">
        <f>B3</f>
        <v>5</v>
      </c>
      <c r="C60" s="198">
        <v>914</v>
      </c>
      <c r="D60" s="206">
        <v>45790</v>
      </c>
      <c r="E60" s="200">
        <v>200</v>
      </c>
      <c r="F60" s="197">
        <v>3</v>
      </c>
      <c r="G60" s="201" t="s">
        <v>22</v>
      </c>
      <c r="H60" s="202"/>
      <c r="I60" s="202" t="s">
        <v>26</v>
      </c>
      <c r="J60" s="203"/>
      <c r="K60" s="204"/>
      <c r="L60" s="205"/>
      <c r="M60" s="257"/>
      <c r="N60" s="7"/>
      <c r="O60" s="7"/>
      <c r="W60"/>
    </row>
    <row r="61" spans="1:23" ht="19.5" customHeight="1" thickBot="1" x14ac:dyDescent="0.25">
      <c r="A61" s="197">
        <v>2025</v>
      </c>
      <c r="B61" s="197">
        <f>B3</f>
        <v>5</v>
      </c>
      <c r="C61" s="198">
        <v>915</v>
      </c>
      <c r="D61" s="206">
        <v>45790</v>
      </c>
      <c r="E61" s="200">
        <v>147</v>
      </c>
      <c r="F61" s="197">
        <v>3</v>
      </c>
      <c r="G61" s="201" t="s">
        <v>22</v>
      </c>
      <c r="H61" s="202"/>
      <c r="I61" s="202" t="s">
        <v>26</v>
      </c>
      <c r="J61" s="203"/>
      <c r="K61" s="204"/>
      <c r="L61" s="205"/>
      <c r="M61" s="257"/>
      <c r="N61" s="7"/>
      <c r="O61" s="7"/>
      <c r="W61"/>
    </row>
    <row r="62" spans="1:23" ht="19.5" customHeight="1" thickBot="1" x14ac:dyDescent="0.25">
      <c r="A62" s="197">
        <v>2025</v>
      </c>
      <c r="B62" s="197">
        <f>B3</f>
        <v>5</v>
      </c>
      <c r="C62" s="198">
        <v>918</v>
      </c>
      <c r="D62" s="206">
        <v>45790</v>
      </c>
      <c r="E62" s="200">
        <v>147</v>
      </c>
      <c r="F62" s="197">
        <v>0</v>
      </c>
      <c r="G62" s="201" t="s">
        <v>13</v>
      </c>
      <c r="H62" s="202"/>
      <c r="I62" s="202"/>
      <c r="J62" s="203"/>
      <c r="K62" s="204"/>
      <c r="L62" s="205"/>
      <c r="M62" s="257"/>
      <c r="N62" s="7"/>
      <c r="O62" s="7"/>
      <c r="W62"/>
    </row>
    <row r="63" spans="1:23" ht="19.5" customHeight="1" thickBot="1" x14ac:dyDescent="0.25">
      <c r="A63" s="207">
        <v>2025</v>
      </c>
      <c r="B63" s="207">
        <f>B3</f>
        <v>5</v>
      </c>
      <c r="C63" s="208">
        <v>919</v>
      </c>
      <c r="D63" s="209">
        <v>45789</v>
      </c>
      <c r="E63" s="210">
        <v>129</v>
      </c>
      <c r="F63" s="207">
        <v>0</v>
      </c>
      <c r="G63" s="201" t="s">
        <v>13</v>
      </c>
      <c r="H63" s="211"/>
      <c r="I63" s="211"/>
      <c r="J63" s="212"/>
      <c r="K63" s="213"/>
      <c r="L63" s="214"/>
      <c r="M63" s="257"/>
    </row>
    <row r="64" spans="1:23" ht="19.5" customHeight="1" x14ac:dyDescent="0.25">
      <c r="A64" s="8" t="s">
        <v>36</v>
      </c>
      <c r="B64" s="9"/>
      <c r="C64" s="9"/>
      <c r="D64" s="9"/>
      <c r="E64" s="9"/>
      <c r="F64" s="9"/>
      <c r="G64" s="215"/>
      <c r="H64" s="9"/>
      <c r="I64" s="9"/>
      <c r="J64" s="9"/>
      <c r="K64" s="9"/>
      <c r="L64" s="216"/>
      <c r="M64" s="10"/>
    </row>
    <row r="65" spans="1:13" ht="19.5" customHeight="1" x14ac:dyDescent="0.25">
      <c r="A65" s="8" t="s">
        <v>37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217"/>
      <c r="M65" s="218"/>
    </row>
    <row r="66" spans="1:13" ht="19.5" customHeight="1" x14ac:dyDescent="0.25">
      <c r="A66" s="8" t="s">
        <v>38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217"/>
      <c r="M66" s="10"/>
    </row>
    <row r="67" spans="1:13" ht="15" customHeight="1" x14ac:dyDescent="0.2">
      <c r="A67" s="219" t="s">
        <v>57</v>
      </c>
      <c r="B67" s="220"/>
      <c r="C67" s="220"/>
      <c r="D67" s="10"/>
      <c r="E67" s="10"/>
      <c r="F67" s="10"/>
      <c r="G67" s="220"/>
      <c r="H67" s="220"/>
      <c r="I67" s="220"/>
      <c r="J67" s="220"/>
      <c r="K67" s="220"/>
      <c r="L67" s="220"/>
      <c r="M67" s="222"/>
    </row>
    <row r="68" spans="1:13" ht="15" customHeight="1" x14ac:dyDescent="0.2">
      <c r="H68" s="5"/>
      <c r="M68" s="6"/>
    </row>
    <row r="69" spans="1:13" ht="15" customHeight="1" x14ac:dyDescent="0.2">
      <c r="H69" s="5"/>
      <c r="M69" s="4"/>
    </row>
    <row r="70" spans="1:13" ht="15" customHeight="1" x14ac:dyDescent="0.2">
      <c r="H70" s="5"/>
    </row>
    <row r="71" spans="1:13" ht="15" customHeight="1" x14ac:dyDescent="0.2"/>
    <row r="72" spans="1:13" ht="15" customHeight="1" x14ac:dyDescent="0.2"/>
    <row r="73" spans="1:13" ht="15" customHeight="1" x14ac:dyDescent="0.2"/>
    <row r="74" spans="1:13" ht="15" customHeight="1" x14ac:dyDescent="0.2"/>
    <row r="75" spans="1:13" ht="15" customHeight="1" x14ac:dyDescent="0.2"/>
  </sheetData>
  <mergeCells count="8">
    <mergeCell ref="M39:M51"/>
    <mergeCell ref="M52:M63"/>
    <mergeCell ref="A1:P1"/>
    <mergeCell ref="M3:M15"/>
    <mergeCell ref="M16:M21"/>
    <mergeCell ref="M22:M24"/>
    <mergeCell ref="M25:M33"/>
    <mergeCell ref="M34:M38"/>
  </mergeCells>
  <dataValidations count="2">
    <dataValidation type="list" allowBlank="1" showInputMessage="1" showErrorMessage="1" sqref="I3:I63" xr:uid="{D69D623E-9361-4FC2-87D5-4E823AD9A32E}">
      <formula1>"Preliminary, Complete"</formula1>
    </dataValidation>
    <dataValidation type="list" allowBlank="1" showInputMessage="1" showErrorMessage="1" sqref="G3:G63" xr:uid="{DC369345-6679-4687-BC47-95F2AF174583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1146-E560-441B-8644-3C2F1780C304}">
  <dimension ref="A1:K2"/>
  <sheetViews>
    <sheetView workbookViewId="0">
      <selection activeCell="V34" sqref="V34"/>
    </sheetView>
  </sheetViews>
  <sheetFormatPr defaultRowHeight="12.75" x14ac:dyDescent="0.2"/>
  <sheetData>
    <row r="1" spans="1:11" x14ac:dyDescent="0.2">
      <c r="A1" s="263" t="s">
        <v>20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</row>
    <row r="2" spans="1:11" x14ac:dyDescent="0.2">
      <c r="A2" s="264"/>
      <c r="B2" s="264"/>
      <c r="C2" s="264"/>
      <c r="D2" s="264"/>
      <c r="E2" s="264"/>
      <c r="F2" s="264"/>
      <c r="G2" s="264"/>
      <c r="H2" s="264"/>
      <c r="I2" s="264"/>
      <c r="J2" s="264"/>
      <c r="K2" s="264"/>
    </row>
  </sheetData>
  <mergeCells count="1">
    <mergeCell ref="A1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 1</vt:lpstr>
      <vt:lpstr>Survey 2</vt:lpstr>
      <vt:lpstr>Survey 3</vt:lpstr>
      <vt:lpstr>Survey 4</vt:lpstr>
      <vt:lpstr>Survey 5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Mora, Vanessa@Wildlife</cp:lastModifiedBy>
  <cp:lastPrinted>2024-05-30T00:07:14Z</cp:lastPrinted>
  <dcterms:created xsi:type="dcterms:W3CDTF">2010-03-26T20:15:02Z</dcterms:created>
  <dcterms:modified xsi:type="dcterms:W3CDTF">2025-05-19T22:22:50Z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