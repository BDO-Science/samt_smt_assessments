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9" documentId="13_ncr:1_{AC0A6D38-CDE9-4EFA-A007-215466C74972}" xr6:coauthVersionLast="47" xr6:coauthVersionMax="47" xr10:uidLastSave="{2B95AE1F-FC8B-4910-8781-8D39AC4B47BF}"/>
  <bookViews>
    <workbookView xWindow="-18336" yWindow="-15840" windowWidth="21672" windowHeight="11676" activeTab="6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LS Map" sheetId="32" r:id="rId8"/>
  </sheets>
  <externalReferences>
    <externalReference r:id="rId9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4" l="1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0" i="34"/>
  <c r="C19" i="34"/>
  <c r="C18" i="34"/>
  <c r="C17" i="34"/>
  <c r="C16" i="34"/>
  <c r="C5" i="34"/>
  <c r="C23" i="34" s="1"/>
  <c r="C4" i="34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C6" i="34" l="1"/>
  <c r="C23" i="29"/>
  <c r="C20" i="29"/>
  <c r="C6" i="29"/>
  <c r="C17" i="27"/>
  <c r="C18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C4" i="24"/>
  <c r="C19" i="24" s="1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34" l="1"/>
  <c r="C21" i="34"/>
  <c r="C7" i="34"/>
  <c r="C21" i="29"/>
  <c r="C7" i="29"/>
  <c r="C24" i="29"/>
  <c r="C23" i="27"/>
  <c r="C19" i="27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C5" i="24"/>
  <c r="C8" i="34" l="1"/>
  <c r="C9" i="34" s="1"/>
  <c r="C10" i="34" s="1"/>
  <c r="C11" i="34" s="1"/>
  <c r="C12" i="34" s="1"/>
  <c r="C13" i="34" s="1"/>
  <c r="C14" i="34" s="1"/>
  <c r="C15" i="34" s="1"/>
  <c r="C22" i="34"/>
  <c r="C22" i="29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<sst xmlns="http://schemas.openxmlformats.org/spreadsheetml/2006/main" count="1347" uniqueCount="44">
  <si>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</si>
  <si>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</si>
  <si>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</si>
  <si>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</si>
  <si>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</si>
  <si>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</si>
  <si>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</si>
  <si>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</si>
  <si>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</si>
  <si>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</si>
  <si>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</si>
  <si>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</si>
  <si>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Napa River</t>
  </si>
  <si>
    <t>Confluence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</si>
  <si>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</si>
  <si>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</si>
  <si>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</si>
  <si>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</si>
  <si>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</si>
  <si>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</si>
  <si>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</si>
  <si>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</si>
  <si>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</si>
  <si>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</si>
  <si>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</si>
  <si>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</si>
  <si>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</si>
  <si>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</si>
  <si>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</si>
  <si>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</si>
  <si>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</si>
  <si>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</si>
  <si>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</si>
  <si>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</si>
  <si>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</si>
  <si>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</si>
  <si>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</si>
  <si>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</si>
  <si>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</si>
  <si>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</si>
  <si>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</si>
  <si>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</si>
  <si>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r>
      <t>405</t>
    </r>
    <r>
      <rPr>
        <sz val="15"/>
        <color rgb="FF000000"/>
        <rFont val="Arial"/>
        <family val="2"/>
      </rPr>
      <t>*</t>
    </r>
  </si>
  <si>
    <t>Processing is complete through 3/10/26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</si>
</sst>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"/>
    <numFmt numFmtId="166" formatCode="m/d/yy;@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  <font>
      <sz val="15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55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1" fillId="5" borderId="7" xfId="2" applyFill="1" applyBorder="1" applyAlignment="1">
      <alignment horizontal="center"/>
    </xf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3" xfId="2" applyBorder="1" applyAlignment="1">
      <alignment horizontal="center"/>
    </xf>
    <xf numFmtId="0" fontId="1" fillId="0" borderId="24" xfId="2" applyBorder="1" applyAlignment="1">
      <alignment horizontal="center"/>
    </xf>
    <xf numFmtId="0" fontId="1" fillId="0" borderId="2" xfId="2" applyBorder="1" applyAlignment="1">
      <alignment horizontal="center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29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1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6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2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6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8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1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4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6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5" xfId="2" applyFill="1" applyBorder="1" applyAlignment="1">
      <alignment horizontal="center"/>
    </xf>
    <xf numFmtId="166" fontId="1" fillId="12" borderId="26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2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4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6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8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2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4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6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6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8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1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4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6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8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2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4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6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4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6" xfId="2" applyNumberFormat="1" applyFill="1" applyBorder="1" applyAlignment="1">
      <alignment horizontal="center"/>
    </xf>
    <xf numFmtId="164" fontId="1" fillId="18" borderId="34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8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1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6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4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6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8" xfId="2" applyNumberFormat="1" applyFill="1" applyBorder="1" applyAlignment="1">
      <alignment horizontal="center"/>
    </xf>
    <xf numFmtId="1" fontId="4" fillId="9" borderId="31" xfId="2" applyNumberFormat="1" applyFon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1" fillId="9" borderId="32" xfId="2" applyNumberForma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11" borderId="31" xfId="2" applyNumberFormat="1" applyFill="1" applyBorder="1" applyAlignment="1">
      <alignment horizontal="center"/>
    </xf>
    <xf numFmtId="1" fontId="1" fillId="11" borderId="34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7" borderId="32" xfId="2" applyNumberFormat="1" applyFill="1" applyBorder="1" applyAlignment="1">
      <alignment horizontal="center"/>
    </xf>
    <xf numFmtId="1" fontId="1" fillId="7" borderId="34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4" borderId="32" xfId="2" applyNumberFormat="1" applyFill="1" applyBorder="1" applyAlignment="1">
      <alignment horizontal="center"/>
    </xf>
    <xf numFmtId="1" fontId="1" fillId="4" borderId="34" xfId="2" applyNumberFormat="1" applyFill="1" applyBorder="1" applyAlignment="1">
      <alignment horizontal="center"/>
    </xf>
    <xf numFmtId="1" fontId="1" fillId="4" borderId="36" xfId="2" applyNumberFormat="1" applyFill="1" applyBorder="1" applyAlignment="1">
      <alignment horizontal="center"/>
    </xf>
    <xf numFmtId="1" fontId="1" fillId="16" borderId="31" xfId="2" applyNumberFormat="1" applyFill="1" applyBorder="1" applyAlignment="1">
      <alignment horizontal="center"/>
    </xf>
    <xf numFmtId="1" fontId="1" fillId="16" borderId="34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9" borderId="32" xfId="2" applyNumberFormat="1" applyFill="1" applyBorder="1" applyAlignment="1">
      <alignment horizontal="center"/>
    </xf>
    <xf numFmtId="1" fontId="1" fillId="19" borderId="34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4" xfId="2" applyNumberFormat="1" applyFill="1" applyBorder="1" applyAlignment="1">
      <alignment horizontal="center"/>
    </xf>
    <xf numFmtId="1" fontId="1" fillId="18" borderId="34" xfId="2" applyNumberFormat="1" applyFill="1" applyBorder="1" applyAlignment="1">
      <alignment horizontal="center" wrapText="1"/>
    </xf>
    <xf numFmtId="1" fontId="1" fillId="23" borderId="31" xfId="2" applyNumberFormat="1" applyFill="1" applyBorder="1" applyAlignment="1">
      <alignment horizontal="center"/>
    </xf>
    <xf numFmtId="1" fontId="1" fillId="23" borderId="32" xfId="2" applyNumberFormat="1" applyFill="1" applyBorder="1" applyAlignment="1">
      <alignment horizontal="center"/>
    </xf>
    <xf numFmtId="1" fontId="1" fillId="24" borderId="34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6" xfId="2" applyNumberFormat="1" applyFont="1" applyFill="1" applyBorder="1" applyAlignment="1">
      <alignment horizontal="center"/>
    </xf>
    <xf numFmtId="1" fontId="1" fillId="9" borderId="26" xfId="2" applyNumberFormat="1" applyFill="1" applyBorder="1" applyAlignment="1">
      <alignment horizontal="center"/>
    </xf>
    <xf numFmtId="1" fontId="1" fillId="9" borderId="28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6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6" xfId="2" applyNumberFormat="1" applyFill="1" applyBorder="1" applyAlignment="1">
      <alignment horizontal="center"/>
    </xf>
    <xf numFmtId="1" fontId="1" fillId="7" borderId="28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6" xfId="2" applyNumberFormat="1" applyFill="1" applyBorder="1" applyAlignment="1">
      <alignment horizontal="center"/>
    </xf>
    <xf numFmtId="1" fontId="1" fillId="4" borderId="28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6" xfId="2" applyNumberFormat="1" applyFill="1" applyBorder="1" applyAlignment="1">
      <alignment horizontal="center"/>
    </xf>
    <xf numFmtId="1" fontId="1" fillId="16" borderId="28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6" xfId="2" applyNumberFormat="1" applyFill="1" applyBorder="1" applyAlignment="1">
      <alignment horizontal="center"/>
    </xf>
    <xf numFmtId="1" fontId="1" fillId="21" borderId="26" xfId="2" applyNumberFormat="1" applyFill="1" applyBorder="1" applyAlignment="1">
      <alignment horizontal="center"/>
    </xf>
    <xf numFmtId="1" fontId="1" fillId="18" borderId="28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6" xfId="2" applyNumberFormat="1" applyFill="1" applyBorder="1" applyAlignment="1">
      <alignment horizontal="center"/>
    </xf>
    <xf numFmtId="1" fontId="1" fillId="24" borderId="26" xfId="2" applyNumberFormat="1" applyFill="1" applyBorder="1" applyAlignment="1">
      <alignment horizontal="center"/>
    </xf>
    <xf numFmtId="1" fontId="1" fillId="24" borderId="28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4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6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5" xfId="2" applyFill="1" applyBorder="1" applyAlignment="1">
      <alignment horizontal="center"/>
    </xf>
    <xf numFmtId="166" fontId="1" fillId="27" borderId="26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6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6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  <xf numFmtId="164" fontId="1" fillId="5" borderId="3" xfId="1" applyNumberFormat="1" applyFill="1" applyBorder="1" applyAlignment="1">
      <alignment horizontal="center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SLS%20catch%20update.xlsx" TargetMode="External"/><Relationship Id="rId1" Type="http://schemas.openxmlformats.org/officeDocument/2006/relationships/externalLinkPath" Target="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topLeftCell="A56" workbookViewId="0">
      <selection activeCell="K65" sqref="K65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.109375" style="22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1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2"/>
      <c r="B3" s="38">
        <v>2026</v>
      </c>
      <c r="C3" s="38">
        <v>12</v>
      </c>
      <c r="D3" s="38">
        <v>306</v>
      </c>
      <c r="E3" s="39">
        <v>45993</v>
      </c>
      <c r="F3" s="317">
        <v>6.5</v>
      </c>
      <c r="G3" s="40">
        <v>71</v>
      </c>
      <c r="H3" s="38" t="s">
        <v>14</v>
      </c>
      <c r="I3" s="41" t="s">
        <v>15</v>
      </c>
      <c r="J3" s="40"/>
      <c r="K3" s="38" t="s">
        <v>16</v>
      </c>
      <c r="L3" s="38"/>
      <c r="M3" s="42"/>
      <c r="N3" s="43"/>
      <c r="O3" s="44"/>
      <c r="P3" s="343" t="s">
        <v>31</v>
      </c>
      <c r="Q3" s="13"/>
    </row>
    <row r="4" spans="1:17" ht="19.5" customHeight="1" thickBot="1" x14ac:dyDescent="0.35">
      <c r="A4" s="32"/>
      <c r="B4" s="45">
        <f>B3</f>
        <v>2026</v>
      </c>
      <c r="C4" s="46">
        <f>C3</f>
        <v>12</v>
      </c>
      <c r="D4" s="47">
        <v>308</v>
      </c>
      <c r="E4" s="48">
        <v>45993</v>
      </c>
      <c r="F4" s="53">
        <v>13.4</v>
      </c>
      <c r="G4" s="49">
        <v>70</v>
      </c>
      <c r="H4" s="50" t="s">
        <v>14</v>
      </c>
      <c r="I4" s="51" t="s">
        <v>15</v>
      </c>
      <c r="J4" s="49"/>
      <c r="K4" s="47" t="s">
        <v>16</v>
      </c>
      <c r="L4" s="47"/>
      <c r="M4" s="52"/>
      <c r="N4" s="53"/>
      <c r="O4" s="54"/>
      <c r="P4" s="343"/>
      <c r="Q4" s="13"/>
    </row>
    <row r="5" spans="1:17" ht="19.5" customHeight="1" thickBot="1" x14ac:dyDescent="0.35">
      <c r="A5" s="32"/>
      <c r="B5" s="45">
        <f t="shared" ref="B5:B14" si="0">B4</f>
        <v>2026</v>
      </c>
      <c r="C5" s="46">
        <f t="shared" ref="C5:C15" si="1">C4</f>
        <v>12</v>
      </c>
      <c r="D5" s="45">
        <v>311</v>
      </c>
      <c r="E5" s="55">
        <v>45993</v>
      </c>
      <c r="F5" s="60">
        <v>7.4</v>
      </c>
      <c r="G5" s="56">
        <v>80</v>
      </c>
      <c r="H5" s="57" t="s">
        <v>14</v>
      </c>
      <c r="I5" s="58" t="s">
        <v>15</v>
      </c>
      <c r="J5" s="56"/>
      <c r="K5" s="45" t="s">
        <v>16</v>
      </c>
      <c r="L5" s="45"/>
      <c r="M5" s="59"/>
      <c r="N5" s="60"/>
      <c r="O5" s="61"/>
      <c r="P5" s="343"/>
      <c r="Q5" s="13"/>
    </row>
    <row r="6" spans="1:17" ht="19.5" customHeight="1" thickBot="1" x14ac:dyDescent="0.35">
      <c r="A6" s="32"/>
      <c r="B6" s="45">
        <f t="shared" si="0"/>
        <v>2026</v>
      </c>
      <c r="C6" s="46">
        <f t="shared" si="1"/>
        <v>12</v>
      </c>
      <c r="D6" s="45">
        <v>315</v>
      </c>
      <c r="E6" s="55">
        <v>45993</v>
      </c>
      <c r="F6" s="60">
        <v>13.3</v>
      </c>
      <c r="G6" s="56">
        <v>47</v>
      </c>
      <c r="H6" s="57" t="s">
        <v>14</v>
      </c>
      <c r="I6" s="58" t="s">
        <v>15</v>
      </c>
      <c r="J6" s="56"/>
      <c r="K6" s="45" t="s">
        <v>16</v>
      </c>
      <c r="L6" s="45"/>
      <c r="M6" s="59"/>
      <c r="N6" s="60"/>
      <c r="O6" s="61"/>
      <c r="P6" s="343"/>
      <c r="Q6" s="13"/>
    </row>
    <row r="7" spans="1:17" ht="19.5" customHeight="1" thickBot="1" x14ac:dyDescent="0.35">
      <c r="A7" s="32"/>
      <c r="B7" s="45">
        <f t="shared" si="0"/>
        <v>2026</v>
      </c>
      <c r="C7" s="46">
        <f t="shared" si="1"/>
        <v>12</v>
      </c>
      <c r="D7" s="45">
        <v>322</v>
      </c>
      <c r="E7" s="55">
        <v>45993</v>
      </c>
      <c r="F7" s="60">
        <v>7.4</v>
      </c>
      <c r="G7" s="56">
        <v>70</v>
      </c>
      <c r="H7" s="57" t="s">
        <v>14</v>
      </c>
      <c r="I7" s="58" t="s">
        <v>15</v>
      </c>
      <c r="J7" s="56"/>
      <c r="K7" s="45" t="s">
        <v>16</v>
      </c>
      <c r="L7" s="45"/>
      <c r="M7" s="59"/>
      <c r="N7" s="60"/>
      <c r="O7" s="61"/>
      <c r="P7" s="343"/>
      <c r="Q7" s="13"/>
    </row>
    <row r="8" spans="1:17" ht="19.5" customHeight="1" thickBot="1" x14ac:dyDescent="0.35">
      <c r="A8" s="32"/>
      <c r="B8" s="45">
        <f t="shared" si="0"/>
        <v>2026</v>
      </c>
      <c r="C8" s="46">
        <f t="shared" si="1"/>
        <v>12</v>
      </c>
      <c r="D8" s="45">
        <v>323</v>
      </c>
      <c r="E8" s="55">
        <v>45993</v>
      </c>
      <c r="F8" s="60">
        <v>6.6</v>
      </c>
      <c r="G8" s="56">
        <v>80</v>
      </c>
      <c r="H8" s="57" t="s">
        <v>14</v>
      </c>
      <c r="I8" s="58" t="s">
        <v>15</v>
      </c>
      <c r="J8" s="56"/>
      <c r="K8" s="45" t="s">
        <v>16</v>
      </c>
      <c r="L8" s="45"/>
      <c r="M8" s="59"/>
      <c r="N8" s="60"/>
      <c r="O8" s="61"/>
      <c r="P8" s="343"/>
      <c r="Q8" s="13"/>
    </row>
    <row r="9" spans="1:17" ht="19.5" customHeight="1" thickBot="1" x14ac:dyDescent="0.35">
      <c r="A9" s="32"/>
      <c r="B9" s="45">
        <f t="shared" si="0"/>
        <v>2026</v>
      </c>
      <c r="C9" s="46">
        <f t="shared" si="1"/>
        <v>12</v>
      </c>
      <c r="D9" s="45">
        <v>327</v>
      </c>
      <c r="E9" s="55">
        <v>45993</v>
      </c>
      <c r="F9" s="60">
        <v>14</v>
      </c>
      <c r="G9" s="56">
        <v>50</v>
      </c>
      <c r="H9" s="57" t="s">
        <v>14</v>
      </c>
      <c r="I9" s="58" t="s">
        <v>15</v>
      </c>
      <c r="J9" s="56"/>
      <c r="K9" s="45" t="s">
        <v>16</v>
      </c>
      <c r="L9" s="45"/>
      <c r="M9" s="59"/>
      <c r="N9" s="60"/>
      <c r="O9" s="61"/>
      <c r="P9" s="343"/>
      <c r="Q9" s="13"/>
    </row>
    <row r="10" spans="1:17" ht="19.5" customHeight="1" thickBot="1" x14ac:dyDescent="0.35">
      <c r="A10" s="32"/>
      <c r="B10" s="45">
        <f t="shared" si="0"/>
        <v>2026</v>
      </c>
      <c r="C10" s="46">
        <f t="shared" si="1"/>
        <v>12</v>
      </c>
      <c r="D10" s="45">
        <v>328</v>
      </c>
      <c r="E10" s="55">
        <v>45993</v>
      </c>
      <c r="F10" s="60">
        <v>17.7</v>
      </c>
      <c r="G10" s="56">
        <v>40</v>
      </c>
      <c r="H10" s="57" t="s">
        <v>14</v>
      </c>
      <c r="I10" s="58" t="s">
        <v>15</v>
      </c>
      <c r="J10" s="56"/>
      <c r="K10" s="45" t="s">
        <v>16</v>
      </c>
      <c r="L10" s="45"/>
      <c r="M10" s="59"/>
      <c r="N10" s="60"/>
      <c r="O10" s="61"/>
      <c r="P10" s="343"/>
      <c r="Q10" s="13"/>
    </row>
    <row r="11" spans="1:17" ht="19.5" customHeight="1" thickBot="1" x14ac:dyDescent="0.35">
      <c r="A11" s="32"/>
      <c r="B11" s="45">
        <f t="shared" si="0"/>
        <v>2026</v>
      </c>
      <c r="C11" s="46">
        <f t="shared" si="1"/>
        <v>12</v>
      </c>
      <c r="D11" s="45">
        <v>329</v>
      </c>
      <c r="E11" s="55">
        <v>45993</v>
      </c>
      <c r="F11" s="60">
        <v>4.3</v>
      </c>
      <c r="G11" s="56">
        <v>80</v>
      </c>
      <c r="H11" s="57" t="s">
        <v>14</v>
      </c>
      <c r="I11" s="58" t="s">
        <v>15</v>
      </c>
      <c r="J11" s="56"/>
      <c r="K11" s="45" t="s">
        <v>16</v>
      </c>
      <c r="L11" s="45"/>
      <c r="M11" s="59"/>
      <c r="N11" s="60"/>
      <c r="O11" s="61"/>
      <c r="P11" s="343"/>
      <c r="Q11" s="13"/>
    </row>
    <row r="12" spans="1:17" ht="19.5" customHeight="1" thickBot="1" x14ac:dyDescent="0.35">
      <c r="A12" s="32"/>
      <c r="B12" s="45">
        <f t="shared" si="0"/>
        <v>2026</v>
      </c>
      <c r="C12" s="46">
        <f t="shared" si="1"/>
        <v>12</v>
      </c>
      <c r="D12" s="45">
        <v>330</v>
      </c>
      <c r="E12" s="55">
        <v>45993</v>
      </c>
      <c r="F12" s="60">
        <v>8.6</v>
      </c>
      <c r="G12" s="56">
        <v>62</v>
      </c>
      <c r="H12" s="57" t="s">
        <v>14</v>
      </c>
      <c r="I12" s="58" t="s">
        <v>15</v>
      </c>
      <c r="J12" s="56"/>
      <c r="K12" s="45" t="s">
        <v>16</v>
      </c>
      <c r="L12" s="45"/>
      <c r="M12" s="59"/>
      <c r="N12" s="60"/>
      <c r="O12" s="61"/>
      <c r="P12" s="343"/>
      <c r="Q12" s="13"/>
    </row>
    <row r="13" spans="1:17" ht="19.5" customHeight="1" thickBot="1" x14ac:dyDescent="0.35">
      <c r="A13" s="32"/>
      <c r="B13" s="45">
        <f t="shared" si="0"/>
        <v>2026</v>
      </c>
      <c r="C13" s="46">
        <f t="shared" si="1"/>
        <v>12</v>
      </c>
      <c r="D13" s="45">
        <v>335</v>
      </c>
      <c r="E13" s="55">
        <v>45993</v>
      </c>
      <c r="F13" s="60">
        <v>3.7</v>
      </c>
      <c r="G13" s="56">
        <v>110</v>
      </c>
      <c r="H13" s="57" t="s">
        <v>14</v>
      </c>
      <c r="I13" s="58" t="s">
        <v>15</v>
      </c>
      <c r="J13" s="56"/>
      <c r="K13" s="45" t="s">
        <v>16</v>
      </c>
      <c r="L13" s="45"/>
      <c r="M13" s="59"/>
      <c r="N13" s="60"/>
      <c r="O13" s="61"/>
      <c r="P13" s="343"/>
      <c r="Q13" s="13"/>
    </row>
    <row r="14" spans="1:17" ht="19.5" customHeight="1" thickBot="1" x14ac:dyDescent="0.35">
      <c r="A14" s="32"/>
      <c r="B14" s="45">
        <f t="shared" si="0"/>
        <v>2026</v>
      </c>
      <c r="C14" s="46">
        <f t="shared" si="1"/>
        <v>12</v>
      </c>
      <c r="D14" s="45">
        <v>336</v>
      </c>
      <c r="E14" s="55">
        <v>45993</v>
      </c>
      <c r="F14" s="60">
        <v>6.2</v>
      </c>
      <c r="G14" s="56">
        <v>70</v>
      </c>
      <c r="H14" s="57" t="s">
        <v>14</v>
      </c>
      <c r="I14" s="58" t="s">
        <v>15</v>
      </c>
      <c r="J14" s="56"/>
      <c r="K14" s="45" t="s">
        <v>16</v>
      </c>
      <c r="L14" s="45"/>
      <c r="M14" s="59"/>
      <c r="N14" s="60"/>
      <c r="O14" s="61"/>
      <c r="P14" s="343"/>
      <c r="Q14" s="13"/>
    </row>
    <row r="15" spans="1:17" ht="19.5" customHeight="1" thickBot="1" x14ac:dyDescent="0.35">
      <c r="A15" s="32"/>
      <c r="B15" s="62">
        <f>B14</f>
        <v>2026</v>
      </c>
      <c r="C15" s="46">
        <f t="shared" si="1"/>
        <v>12</v>
      </c>
      <c r="D15" s="62">
        <v>338</v>
      </c>
      <c r="E15" s="63">
        <v>45992</v>
      </c>
      <c r="F15" s="67">
        <v>10.5</v>
      </c>
      <c r="G15" s="64">
        <v>56</v>
      </c>
      <c r="H15" s="57" t="s">
        <v>14</v>
      </c>
      <c r="I15" s="65" t="s">
        <v>15</v>
      </c>
      <c r="J15" s="64"/>
      <c r="K15" s="62" t="s">
        <v>16</v>
      </c>
      <c r="L15" s="62"/>
      <c r="M15" s="66"/>
      <c r="N15" s="67"/>
      <c r="O15" s="68"/>
      <c r="P15" s="343"/>
      <c r="Q15" s="13"/>
    </row>
    <row r="16" spans="1:17" ht="19.5" customHeight="1" x14ac:dyDescent="0.3">
      <c r="A16" s="32"/>
      <c r="B16" s="69">
        <f>B15</f>
        <v>2026</v>
      </c>
      <c r="C16" s="70">
        <f>C3</f>
        <v>12</v>
      </c>
      <c r="D16" s="69">
        <v>340</v>
      </c>
      <c r="E16" s="71">
        <v>45992</v>
      </c>
      <c r="F16" s="318">
        <v>17.600000000000001</v>
      </c>
      <c r="G16" s="72">
        <v>50</v>
      </c>
      <c r="H16" s="69" t="s">
        <v>14</v>
      </c>
      <c r="I16" s="73" t="s">
        <v>15</v>
      </c>
      <c r="J16" s="73"/>
      <c r="K16" s="69" t="s">
        <v>16</v>
      </c>
      <c r="L16" s="69"/>
      <c r="M16" s="74"/>
      <c r="N16" s="75"/>
      <c r="O16" s="76"/>
      <c r="P16" s="344" t="s">
        <v>12</v>
      </c>
      <c r="Q16" s="13"/>
    </row>
    <row r="17" spans="1:17" ht="19.5" customHeight="1" x14ac:dyDescent="0.3">
      <c r="A17" s="32"/>
      <c r="B17" s="77">
        <f>B16</f>
        <v>2026</v>
      </c>
      <c r="C17" s="77">
        <f>C3</f>
        <v>12</v>
      </c>
      <c r="D17" s="78">
        <v>342</v>
      </c>
      <c r="E17" s="79">
        <v>45992</v>
      </c>
      <c r="F17" s="319">
        <v>13.5</v>
      </c>
      <c r="G17" s="80">
        <v>56</v>
      </c>
      <c r="H17" s="78" t="s">
        <v>14</v>
      </c>
      <c r="I17" s="81" t="s">
        <v>15</v>
      </c>
      <c r="J17" s="81"/>
      <c r="K17" s="78" t="s">
        <v>16</v>
      </c>
      <c r="L17" s="78"/>
      <c r="M17" s="82"/>
      <c r="N17" s="83"/>
      <c r="O17" s="84"/>
      <c r="P17" s="345"/>
      <c r="Q17" s="13"/>
    </row>
    <row r="18" spans="1:17" ht="19.5" customHeight="1" x14ac:dyDescent="0.3">
      <c r="A18" s="32"/>
      <c r="B18" s="77">
        <f t="shared" ref="B18:B19" si="2">B17</f>
        <v>2026</v>
      </c>
      <c r="C18" s="77">
        <f>C3</f>
        <v>12</v>
      </c>
      <c r="D18" s="78">
        <v>343</v>
      </c>
      <c r="E18" s="79">
        <v>45992</v>
      </c>
      <c r="F18" s="319">
        <v>11.4</v>
      </c>
      <c r="G18" s="80">
        <v>65</v>
      </c>
      <c r="H18" s="78" t="s">
        <v>14</v>
      </c>
      <c r="I18" s="81" t="s">
        <v>15</v>
      </c>
      <c r="J18" s="81"/>
      <c r="K18" s="78" t="s">
        <v>16</v>
      </c>
      <c r="L18" s="78"/>
      <c r="M18" s="82"/>
      <c r="N18" s="83"/>
      <c r="O18" s="84"/>
      <c r="P18" s="345"/>
      <c r="Q18" s="13"/>
    </row>
    <row r="19" spans="1:17" ht="19.5" customHeight="1" x14ac:dyDescent="0.3">
      <c r="A19" s="32"/>
      <c r="B19" s="77">
        <f t="shared" si="2"/>
        <v>2026</v>
      </c>
      <c r="C19" s="77">
        <f>C4</f>
        <v>12</v>
      </c>
      <c r="D19" s="78">
        <v>344</v>
      </c>
      <c r="E19" s="79">
        <v>45992</v>
      </c>
      <c r="F19" s="319">
        <v>9.6</v>
      </c>
      <c r="G19" s="80">
        <v>57</v>
      </c>
      <c r="H19" s="78" t="s">
        <v>14</v>
      </c>
      <c r="I19" s="81" t="s">
        <v>15</v>
      </c>
      <c r="J19" s="81"/>
      <c r="K19" s="78" t="s">
        <v>16</v>
      </c>
      <c r="L19" s="78"/>
      <c r="M19" s="82"/>
      <c r="N19" s="83"/>
      <c r="O19" s="84"/>
      <c r="P19" s="345"/>
      <c r="Q19" s="13"/>
    </row>
    <row r="20" spans="1:17" ht="19.5" customHeight="1" x14ac:dyDescent="0.3">
      <c r="A20" s="32"/>
      <c r="B20" s="77">
        <f>B19</f>
        <v>2026</v>
      </c>
      <c r="C20" s="77">
        <f>C5</f>
        <v>12</v>
      </c>
      <c r="D20" s="78">
        <v>345</v>
      </c>
      <c r="E20" s="79">
        <v>45992</v>
      </c>
      <c r="F20" s="319">
        <v>8.4</v>
      </c>
      <c r="G20" s="80">
        <v>74</v>
      </c>
      <c r="H20" s="78" t="s">
        <v>14</v>
      </c>
      <c r="I20" s="81" t="s">
        <v>15</v>
      </c>
      <c r="J20" s="81"/>
      <c r="K20" s="78" t="s">
        <v>16</v>
      </c>
      <c r="L20" s="78"/>
      <c r="M20" s="82"/>
      <c r="N20" s="83"/>
      <c r="O20" s="84"/>
      <c r="P20" s="345"/>
      <c r="Q20" s="13"/>
    </row>
    <row r="21" spans="1:17" ht="19.5" customHeight="1" x14ac:dyDescent="0.3">
      <c r="A21" s="32"/>
      <c r="B21" s="85">
        <f>B20</f>
        <v>2026</v>
      </c>
      <c r="C21" s="85">
        <f>C6</f>
        <v>12</v>
      </c>
      <c r="D21" s="86">
        <v>346</v>
      </c>
      <c r="E21" s="79">
        <v>45992</v>
      </c>
      <c r="F21" s="319">
        <v>4.9000000000000004</v>
      </c>
      <c r="G21" s="80">
        <v>83</v>
      </c>
      <c r="H21" s="78" t="s">
        <v>14</v>
      </c>
      <c r="I21" s="81" t="s">
        <v>15</v>
      </c>
      <c r="J21" s="81"/>
      <c r="K21" s="78" t="s">
        <v>16</v>
      </c>
      <c r="L21" s="78"/>
      <c r="M21" s="82"/>
      <c r="N21" s="83"/>
      <c r="O21" s="84"/>
      <c r="P21" s="345"/>
      <c r="Q21" s="13"/>
    </row>
    <row r="22" spans="1:17" ht="19.5" customHeight="1" x14ac:dyDescent="0.3">
      <c r="A22" s="32"/>
      <c r="B22" s="87">
        <f t="shared" ref="B22" si="3">B21</f>
        <v>2026</v>
      </c>
      <c r="C22" s="77">
        <f>C7</f>
        <v>12</v>
      </c>
      <c r="D22" s="78">
        <v>347</v>
      </c>
      <c r="E22" s="88">
        <v>45992</v>
      </c>
      <c r="F22" s="320">
        <v>6.1</v>
      </c>
      <c r="G22" s="80">
        <v>140</v>
      </c>
      <c r="H22" s="78" t="s">
        <v>14</v>
      </c>
      <c r="I22" s="81" t="s">
        <v>15</v>
      </c>
      <c r="J22" s="81"/>
      <c r="K22" s="78" t="s">
        <v>16</v>
      </c>
      <c r="L22" s="78"/>
      <c r="M22" s="82"/>
      <c r="N22" s="83"/>
      <c r="O22" s="84"/>
      <c r="P22" s="345"/>
      <c r="Q22" s="13"/>
    </row>
    <row r="23" spans="1:17" ht="19.5" customHeight="1" x14ac:dyDescent="0.3">
      <c r="A23" s="32"/>
      <c r="B23" s="77">
        <f>B22</f>
        <v>2026</v>
      </c>
      <c r="C23" s="89">
        <f>C5</f>
        <v>12</v>
      </c>
      <c r="D23" s="90">
        <v>348</v>
      </c>
      <c r="E23" s="79">
        <v>45992</v>
      </c>
      <c r="F23" s="319">
        <v>2.9</v>
      </c>
      <c r="G23" s="80">
        <v>124</v>
      </c>
      <c r="H23" s="78" t="s">
        <v>14</v>
      </c>
      <c r="I23" s="81" t="s">
        <v>15</v>
      </c>
      <c r="J23" s="81"/>
      <c r="K23" s="78" t="s">
        <v>16</v>
      </c>
      <c r="L23" s="78"/>
      <c r="M23" s="82"/>
      <c r="N23" s="91"/>
      <c r="O23" s="92"/>
      <c r="P23" s="345"/>
      <c r="Q23" s="13"/>
    </row>
    <row r="24" spans="1:17" ht="19.5" customHeight="1" thickBot="1" x14ac:dyDescent="0.35">
      <c r="A24" s="32"/>
      <c r="B24" s="93">
        <f>B23</f>
        <v>2026</v>
      </c>
      <c r="C24" s="85">
        <f>C6</f>
        <v>12</v>
      </c>
      <c r="D24" s="94">
        <v>349</v>
      </c>
      <c r="E24" s="95">
        <v>45992</v>
      </c>
      <c r="F24" s="321">
        <v>3.7</v>
      </c>
      <c r="G24" s="96">
        <v>120</v>
      </c>
      <c r="H24" s="94" t="s">
        <v>14</v>
      </c>
      <c r="I24" s="97" t="s">
        <v>15</v>
      </c>
      <c r="J24" s="97"/>
      <c r="K24" s="94" t="s">
        <v>16</v>
      </c>
      <c r="L24" s="94"/>
      <c r="M24" s="98"/>
      <c r="N24" s="99"/>
      <c r="O24" s="100"/>
      <c r="P24" s="346"/>
      <c r="Q24" s="13"/>
    </row>
    <row r="25" spans="1:17" ht="19.5" customHeight="1" thickBot="1" x14ac:dyDescent="0.35">
      <c r="A25" s="32"/>
      <c r="B25" s="101">
        <f>B24</f>
        <v>2026</v>
      </c>
      <c r="C25" s="102">
        <f>C3</f>
        <v>12</v>
      </c>
      <c r="D25" s="101">
        <v>401</v>
      </c>
      <c r="E25" s="103">
        <v>45992</v>
      </c>
      <c r="F25" s="322">
        <v>10.8</v>
      </c>
      <c r="G25" s="104">
        <v>86</v>
      </c>
      <c r="H25" s="101" t="s">
        <v>14</v>
      </c>
      <c r="I25" s="105" t="s">
        <v>15</v>
      </c>
      <c r="J25" s="105"/>
      <c r="K25" s="101" t="s">
        <v>16</v>
      </c>
      <c r="L25" s="101"/>
      <c r="M25" s="106"/>
      <c r="N25" s="107"/>
      <c r="O25" s="108"/>
      <c r="P25" s="347" t="s">
        <v>32</v>
      </c>
      <c r="Q25" s="13"/>
    </row>
    <row r="26" spans="1:17" ht="19.5" customHeight="1" thickBot="1" x14ac:dyDescent="0.35">
      <c r="A26" s="32"/>
      <c r="B26" s="101">
        <f t="shared" ref="B26:B61" si="4">B25</f>
        <v>2026</v>
      </c>
      <c r="C26" s="109">
        <f>C3</f>
        <v>12</v>
      </c>
      <c r="D26" s="110">
        <v>404</v>
      </c>
      <c r="E26" s="111">
        <v>45993</v>
      </c>
      <c r="F26" s="322">
        <v>10.9</v>
      </c>
      <c r="G26" s="104">
        <v>70</v>
      </c>
      <c r="H26" s="110" t="s">
        <v>14</v>
      </c>
      <c r="I26" s="112" t="s">
        <v>15</v>
      </c>
      <c r="J26" s="112"/>
      <c r="K26" s="110" t="s">
        <v>16</v>
      </c>
      <c r="L26" s="110"/>
      <c r="M26" s="113"/>
      <c r="N26" s="114"/>
      <c r="O26" s="115"/>
      <c r="P26" s="347"/>
      <c r="Q26" s="13"/>
    </row>
    <row r="27" spans="1:17" ht="19.5" customHeight="1" thickBot="1" x14ac:dyDescent="0.35">
      <c r="A27" s="32"/>
      <c r="B27" s="116">
        <f t="shared" si="4"/>
        <v>2026</v>
      </c>
      <c r="C27" s="116">
        <f>C3</f>
        <v>12</v>
      </c>
      <c r="D27" s="117">
        <v>405</v>
      </c>
      <c r="E27" s="118">
        <v>45993</v>
      </c>
      <c r="F27" s="121">
        <v>10.3</v>
      </c>
      <c r="G27" s="119">
        <v>57</v>
      </c>
      <c r="H27" s="117" t="s">
        <v>14</v>
      </c>
      <c r="I27" s="119" t="s">
        <v>15</v>
      </c>
      <c r="J27" s="119"/>
      <c r="K27" s="117" t="s">
        <v>16</v>
      </c>
      <c r="L27" s="117"/>
      <c r="M27" s="120"/>
      <c r="N27" s="121"/>
      <c r="O27" s="122"/>
      <c r="P27" s="347"/>
      <c r="Q27" s="13"/>
    </row>
    <row r="28" spans="1:17" ht="19.5" customHeight="1" thickBot="1" x14ac:dyDescent="0.35">
      <c r="A28" s="32"/>
      <c r="B28" s="123">
        <f t="shared" si="4"/>
        <v>2026</v>
      </c>
      <c r="C28" s="123">
        <f>C3</f>
        <v>12</v>
      </c>
      <c r="D28" s="124">
        <v>411</v>
      </c>
      <c r="E28" s="125">
        <v>45994</v>
      </c>
      <c r="F28" s="128">
        <v>14.7</v>
      </c>
      <c r="G28" s="126">
        <v>55</v>
      </c>
      <c r="H28" s="124" t="s">
        <v>14</v>
      </c>
      <c r="I28" s="126" t="s">
        <v>15</v>
      </c>
      <c r="J28" s="126"/>
      <c r="K28" s="124" t="s">
        <v>16</v>
      </c>
      <c r="L28" s="124"/>
      <c r="M28" s="127"/>
      <c r="N28" s="128"/>
      <c r="O28" s="129"/>
      <c r="P28" s="348" t="s">
        <v>33</v>
      </c>
      <c r="Q28" s="13"/>
    </row>
    <row r="29" spans="1:17" ht="19.5" customHeight="1" thickBot="1" x14ac:dyDescent="0.35">
      <c r="A29" s="32"/>
      <c r="B29" s="130">
        <f t="shared" si="4"/>
        <v>2026</v>
      </c>
      <c r="C29" s="130">
        <f>C3</f>
        <v>12</v>
      </c>
      <c r="D29" s="131">
        <v>418</v>
      </c>
      <c r="E29" s="132">
        <v>45994</v>
      </c>
      <c r="F29" s="135">
        <v>13.2</v>
      </c>
      <c r="G29" s="133">
        <v>73</v>
      </c>
      <c r="H29" s="131" t="s">
        <v>14</v>
      </c>
      <c r="I29" s="133" t="s">
        <v>15</v>
      </c>
      <c r="J29" s="133"/>
      <c r="K29" s="131" t="s">
        <v>16</v>
      </c>
      <c r="L29" s="131"/>
      <c r="M29" s="134"/>
      <c r="N29" s="135"/>
      <c r="O29" s="136"/>
      <c r="P29" s="348"/>
      <c r="Q29" s="13"/>
    </row>
    <row r="30" spans="1:17" ht="19.5" customHeight="1" thickBot="1" x14ac:dyDescent="0.35">
      <c r="A30" s="32"/>
      <c r="B30" s="130">
        <f t="shared" si="4"/>
        <v>2026</v>
      </c>
      <c r="C30" s="130">
        <f>C3</f>
        <v>12</v>
      </c>
      <c r="D30" s="131">
        <v>501</v>
      </c>
      <c r="E30" s="137">
        <v>45994</v>
      </c>
      <c r="F30" s="323">
        <v>15.1</v>
      </c>
      <c r="G30" s="138">
        <v>43</v>
      </c>
      <c r="H30" s="131" t="s">
        <v>14</v>
      </c>
      <c r="I30" s="133" t="s">
        <v>15</v>
      </c>
      <c r="J30" s="133"/>
      <c r="K30" s="131" t="s">
        <v>16</v>
      </c>
      <c r="L30" s="131"/>
      <c r="M30" s="134"/>
      <c r="N30" s="135"/>
      <c r="O30" s="136"/>
      <c r="P30" s="348"/>
      <c r="Q30" s="13"/>
    </row>
    <row r="31" spans="1:17" ht="19.5" customHeight="1" thickBot="1" x14ac:dyDescent="0.35">
      <c r="A31" s="32"/>
      <c r="B31" s="130">
        <f t="shared" si="4"/>
        <v>2026</v>
      </c>
      <c r="C31" s="130">
        <f>C3</f>
        <v>12</v>
      </c>
      <c r="D31" s="131">
        <v>504</v>
      </c>
      <c r="E31" s="132">
        <v>45994</v>
      </c>
      <c r="F31" s="135">
        <v>17.399999999999999</v>
      </c>
      <c r="G31" s="133">
        <v>52</v>
      </c>
      <c r="H31" s="131" t="s">
        <v>14</v>
      </c>
      <c r="I31" s="133" t="s">
        <v>15</v>
      </c>
      <c r="J31" s="133"/>
      <c r="K31" s="131" t="s">
        <v>16</v>
      </c>
      <c r="L31" s="131"/>
      <c r="M31" s="134"/>
      <c r="N31" s="135"/>
      <c r="O31" s="136"/>
      <c r="P31" s="348"/>
      <c r="Q31" s="13"/>
    </row>
    <row r="32" spans="1:17" ht="19.5" customHeight="1" thickBot="1" x14ac:dyDescent="0.35">
      <c r="A32" s="32"/>
      <c r="B32" s="130">
        <f t="shared" si="4"/>
        <v>2026</v>
      </c>
      <c r="C32" s="130">
        <f>C3</f>
        <v>12</v>
      </c>
      <c r="D32" s="131">
        <v>519</v>
      </c>
      <c r="E32" s="132">
        <v>45994</v>
      </c>
      <c r="F32" s="135">
        <v>20.3</v>
      </c>
      <c r="G32" s="133">
        <v>38</v>
      </c>
      <c r="H32" s="131" t="s">
        <v>14</v>
      </c>
      <c r="I32" s="133" t="s">
        <v>15</v>
      </c>
      <c r="J32" s="133"/>
      <c r="K32" s="131" t="s">
        <v>16</v>
      </c>
      <c r="L32" s="131"/>
      <c r="M32" s="134"/>
      <c r="N32" s="135"/>
      <c r="O32" s="136"/>
      <c r="P32" s="348"/>
      <c r="Q32" s="13"/>
    </row>
    <row r="33" spans="1:17" ht="19.5" customHeight="1" thickBot="1" x14ac:dyDescent="0.35">
      <c r="A33" s="32"/>
      <c r="B33" s="130">
        <f t="shared" si="4"/>
        <v>2026</v>
      </c>
      <c r="C33" s="130">
        <f>C3</f>
        <v>12</v>
      </c>
      <c r="D33" s="131">
        <v>602</v>
      </c>
      <c r="E33" s="137">
        <v>45994</v>
      </c>
      <c r="F33" s="323">
        <v>41.1</v>
      </c>
      <c r="G33" s="138">
        <v>30</v>
      </c>
      <c r="H33" s="131" t="s">
        <v>14</v>
      </c>
      <c r="I33" s="133" t="s">
        <v>15</v>
      </c>
      <c r="J33" s="133"/>
      <c r="K33" s="131" t="s">
        <v>16</v>
      </c>
      <c r="L33" s="131"/>
      <c r="M33" s="134"/>
      <c r="N33" s="135"/>
      <c r="O33" s="136"/>
      <c r="P33" s="348"/>
      <c r="Q33" s="13"/>
    </row>
    <row r="34" spans="1:17" ht="19.5" customHeight="1" thickBot="1" x14ac:dyDescent="0.35">
      <c r="A34" s="32"/>
      <c r="B34" s="130">
        <f t="shared" si="4"/>
        <v>2026</v>
      </c>
      <c r="C34" s="130">
        <f>C3</f>
        <v>12</v>
      </c>
      <c r="D34" s="131">
        <v>606</v>
      </c>
      <c r="E34" s="132">
        <v>45994</v>
      </c>
      <c r="F34" s="135">
        <v>32</v>
      </c>
      <c r="G34" s="133">
        <v>28</v>
      </c>
      <c r="H34" s="131" t="s">
        <v>14</v>
      </c>
      <c r="I34" s="133" t="s">
        <v>15</v>
      </c>
      <c r="J34" s="133"/>
      <c r="K34" s="131" t="s">
        <v>16</v>
      </c>
      <c r="L34" s="131"/>
      <c r="M34" s="134"/>
      <c r="N34" s="135"/>
      <c r="O34" s="136"/>
      <c r="P34" s="348"/>
      <c r="Q34" s="13"/>
    </row>
    <row r="35" spans="1:17" ht="19.5" customHeight="1" thickBot="1" x14ac:dyDescent="0.35">
      <c r="A35" s="32"/>
      <c r="B35" s="130">
        <f t="shared" si="4"/>
        <v>2026</v>
      </c>
      <c r="C35" s="130">
        <f>C3</f>
        <v>12</v>
      </c>
      <c r="D35" s="131">
        <v>609</v>
      </c>
      <c r="E35" s="132">
        <v>45994</v>
      </c>
      <c r="F35" s="135">
        <v>38.799999999999997</v>
      </c>
      <c r="G35" s="133">
        <v>25</v>
      </c>
      <c r="H35" s="131" t="s">
        <v>14</v>
      </c>
      <c r="I35" s="133" t="s">
        <v>15</v>
      </c>
      <c r="J35" s="133"/>
      <c r="K35" s="131" t="s">
        <v>16</v>
      </c>
      <c r="L35" s="131"/>
      <c r="M35" s="134"/>
      <c r="N35" s="135"/>
      <c r="O35" s="136"/>
      <c r="P35" s="348"/>
      <c r="Q35" s="13"/>
    </row>
    <row r="36" spans="1:17" ht="19.5" customHeight="1" thickBot="1" x14ac:dyDescent="0.35">
      <c r="A36" s="32"/>
      <c r="B36" s="139">
        <f t="shared" si="4"/>
        <v>2026</v>
      </c>
      <c r="C36" s="140">
        <f>C3</f>
        <v>12</v>
      </c>
      <c r="D36" s="141">
        <v>610</v>
      </c>
      <c r="E36" s="142">
        <v>45994</v>
      </c>
      <c r="F36" s="324">
        <v>13.9</v>
      </c>
      <c r="G36" s="143">
        <v>45</v>
      </c>
      <c r="H36" s="141" t="s">
        <v>14</v>
      </c>
      <c r="I36" s="144" t="s">
        <v>15</v>
      </c>
      <c r="J36" s="144"/>
      <c r="K36" s="141" t="s">
        <v>16</v>
      </c>
      <c r="L36" s="141"/>
      <c r="M36" s="145"/>
      <c r="N36" s="146"/>
      <c r="O36" s="147"/>
      <c r="P36" s="348"/>
      <c r="Q36" s="13"/>
    </row>
    <row r="37" spans="1:17" ht="19.5" customHeight="1" thickBot="1" x14ac:dyDescent="0.35">
      <c r="A37" s="32"/>
      <c r="B37" s="148">
        <f t="shared" si="4"/>
        <v>2026</v>
      </c>
      <c r="C37" s="149">
        <f>C3</f>
        <v>12</v>
      </c>
      <c r="D37" s="150">
        <v>508</v>
      </c>
      <c r="E37" s="151">
        <v>45994</v>
      </c>
      <c r="F37" s="325">
        <v>17.5</v>
      </c>
      <c r="G37" s="152">
        <v>45</v>
      </c>
      <c r="H37" s="153" t="s">
        <v>14</v>
      </c>
      <c r="I37" s="153" t="s">
        <v>15</v>
      </c>
      <c r="J37" s="153"/>
      <c r="K37" s="150" t="s">
        <v>16</v>
      </c>
      <c r="L37" s="150"/>
      <c r="M37" s="154"/>
      <c r="N37" s="155"/>
      <c r="O37" s="156"/>
      <c r="P37" s="349" t="s">
        <v>13</v>
      </c>
      <c r="Q37" s="13"/>
    </row>
    <row r="38" spans="1:17" ht="19.5" customHeight="1" thickBot="1" x14ac:dyDescent="0.35">
      <c r="A38" s="32"/>
      <c r="B38" s="157">
        <f t="shared" si="4"/>
        <v>2026</v>
      </c>
      <c r="C38" s="149">
        <f>C3</f>
        <v>12</v>
      </c>
      <c r="D38" s="158">
        <v>513</v>
      </c>
      <c r="E38" s="159">
        <v>45994</v>
      </c>
      <c r="F38" s="326">
        <v>8.3000000000000007</v>
      </c>
      <c r="G38" s="160">
        <v>79</v>
      </c>
      <c r="H38" s="161" t="s">
        <v>14</v>
      </c>
      <c r="I38" s="161" t="s">
        <v>15</v>
      </c>
      <c r="J38" s="161"/>
      <c r="K38" s="158" t="s">
        <v>16</v>
      </c>
      <c r="L38" s="158"/>
      <c r="M38" s="162"/>
      <c r="N38" s="163"/>
      <c r="O38" s="164"/>
      <c r="P38" s="349"/>
      <c r="Q38" s="13"/>
    </row>
    <row r="39" spans="1:17" ht="19.5" customHeight="1" thickBot="1" x14ac:dyDescent="0.35">
      <c r="A39" s="32"/>
      <c r="B39" s="157">
        <f t="shared" si="4"/>
        <v>2026</v>
      </c>
      <c r="C39" s="149">
        <f>C3</f>
        <v>12</v>
      </c>
      <c r="D39" s="158">
        <v>520</v>
      </c>
      <c r="E39" s="159">
        <v>45993</v>
      </c>
      <c r="F39" s="326">
        <v>11.3</v>
      </c>
      <c r="G39" s="160">
        <v>62</v>
      </c>
      <c r="H39" s="161" t="s">
        <v>14</v>
      </c>
      <c r="I39" s="161" t="s">
        <v>15</v>
      </c>
      <c r="J39" s="161"/>
      <c r="K39" s="158" t="s">
        <v>16</v>
      </c>
      <c r="L39" s="158"/>
      <c r="M39" s="162"/>
      <c r="N39" s="163"/>
      <c r="O39" s="164"/>
      <c r="P39" s="349"/>
      <c r="Q39" s="13"/>
    </row>
    <row r="40" spans="1:17" ht="19.5" customHeight="1" thickBot="1" x14ac:dyDescent="0.35">
      <c r="A40" s="32"/>
      <c r="B40" s="157">
        <f t="shared" si="4"/>
        <v>2026</v>
      </c>
      <c r="C40" s="149">
        <f>C3</f>
        <v>12</v>
      </c>
      <c r="D40" s="158">
        <v>801</v>
      </c>
      <c r="E40" s="159">
        <v>45994</v>
      </c>
      <c r="F40" s="326">
        <v>10.7</v>
      </c>
      <c r="G40" s="160">
        <v>87</v>
      </c>
      <c r="H40" s="161" t="s">
        <v>14</v>
      </c>
      <c r="I40" s="161" t="s">
        <v>15</v>
      </c>
      <c r="J40" s="161"/>
      <c r="K40" s="158" t="s">
        <v>16</v>
      </c>
      <c r="L40" s="158"/>
      <c r="M40" s="162"/>
      <c r="N40" s="163"/>
      <c r="O40" s="164"/>
      <c r="P40" s="349"/>
      <c r="Q40" s="13"/>
    </row>
    <row r="41" spans="1:17" ht="19.5" customHeight="1" thickBot="1" x14ac:dyDescent="0.35">
      <c r="A41" s="32"/>
      <c r="B41" s="165">
        <f t="shared" si="4"/>
        <v>2026</v>
      </c>
      <c r="C41" s="166">
        <f>C3</f>
        <v>12</v>
      </c>
      <c r="D41" s="167">
        <v>804</v>
      </c>
      <c r="E41" s="168">
        <v>45993</v>
      </c>
      <c r="F41" s="327">
        <v>9.4</v>
      </c>
      <c r="G41" s="169">
        <v>77</v>
      </c>
      <c r="H41" s="170" t="s">
        <v>14</v>
      </c>
      <c r="I41" s="170" t="s">
        <v>15</v>
      </c>
      <c r="J41" s="170"/>
      <c r="K41" s="167" t="s">
        <v>16</v>
      </c>
      <c r="L41" s="167"/>
      <c r="M41" s="171"/>
      <c r="N41" s="172"/>
      <c r="O41" s="173"/>
      <c r="P41" s="349"/>
      <c r="Q41" s="13"/>
    </row>
    <row r="42" spans="1:17" ht="19.5" customHeight="1" x14ac:dyDescent="0.3">
      <c r="A42" s="32"/>
      <c r="B42" s="174">
        <f t="shared" si="4"/>
        <v>2026</v>
      </c>
      <c r="C42" s="175">
        <f>C3</f>
        <v>12</v>
      </c>
      <c r="D42" s="176">
        <v>703</v>
      </c>
      <c r="E42" s="177">
        <v>45993</v>
      </c>
      <c r="F42" s="328">
        <v>7.9</v>
      </c>
      <c r="G42" s="178">
        <v>56</v>
      </c>
      <c r="H42" s="179" t="s">
        <v>14</v>
      </c>
      <c r="I42" s="180" t="s">
        <v>15</v>
      </c>
      <c r="J42" s="180"/>
      <c r="K42" s="176" t="s">
        <v>16</v>
      </c>
      <c r="L42" s="176"/>
      <c r="M42" s="181"/>
      <c r="N42" s="182"/>
      <c r="O42" s="183"/>
      <c r="P42" s="350" t="s">
        <v>34</v>
      </c>
      <c r="Q42" s="13"/>
    </row>
    <row r="43" spans="1:17" ht="19.5" customHeight="1" x14ac:dyDescent="0.3">
      <c r="A43" s="32"/>
      <c r="B43" s="184">
        <f t="shared" si="4"/>
        <v>2026</v>
      </c>
      <c r="C43" s="185">
        <f>C3</f>
        <v>12</v>
      </c>
      <c r="D43" s="186">
        <v>704</v>
      </c>
      <c r="E43" s="187">
        <v>45993</v>
      </c>
      <c r="F43" s="329">
        <v>12.2</v>
      </c>
      <c r="G43" s="188">
        <v>39</v>
      </c>
      <c r="H43" s="179" t="s">
        <v>14</v>
      </c>
      <c r="I43" s="189" t="s">
        <v>15</v>
      </c>
      <c r="J43" s="189"/>
      <c r="K43" s="186" t="s">
        <v>16</v>
      </c>
      <c r="L43" s="186"/>
      <c r="M43" s="190"/>
      <c r="N43" s="191"/>
      <c r="O43" s="192"/>
      <c r="P43" s="351"/>
      <c r="Q43" s="13"/>
    </row>
    <row r="44" spans="1:17" ht="19.5" customHeight="1" x14ac:dyDescent="0.3">
      <c r="A44" s="32"/>
      <c r="B44" s="184">
        <f t="shared" si="4"/>
        <v>2026</v>
      </c>
      <c r="C44" s="185">
        <f>C3</f>
        <v>12</v>
      </c>
      <c r="D44" s="186">
        <v>705</v>
      </c>
      <c r="E44" s="187">
        <v>45993</v>
      </c>
      <c r="F44" s="329">
        <v>9.5</v>
      </c>
      <c r="G44" s="188">
        <v>85</v>
      </c>
      <c r="H44" s="179" t="s">
        <v>14</v>
      </c>
      <c r="I44" s="189" t="s">
        <v>15</v>
      </c>
      <c r="J44" s="189"/>
      <c r="K44" s="186" t="s">
        <v>16</v>
      </c>
      <c r="L44" s="186"/>
      <c r="M44" s="190"/>
      <c r="N44" s="191"/>
      <c r="O44" s="192"/>
      <c r="P44" s="351"/>
      <c r="Q44" s="13"/>
    </row>
    <row r="45" spans="1:17" ht="19.5" customHeight="1" x14ac:dyDescent="0.3">
      <c r="A45" s="32"/>
      <c r="B45" s="184">
        <f t="shared" si="4"/>
        <v>2026</v>
      </c>
      <c r="C45" s="185">
        <f>C3</f>
        <v>12</v>
      </c>
      <c r="D45" s="186">
        <v>706</v>
      </c>
      <c r="E45" s="187">
        <v>45993</v>
      </c>
      <c r="F45" s="329">
        <v>15.7</v>
      </c>
      <c r="G45" s="188">
        <v>36</v>
      </c>
      <c r="H45" s="179" t="s">
        <v>14</v>
      </c>
      <c r="I45" s="189" t="s">
        <v>15</v>
      </c>
      <c r="J45" s="189"/>
      <c r="K45" s="186" t="s">
        <v>16</v>
      </c>
      <c r="L45" s="186"/>
      <c r="M45" s="190"/>
      <c r="N45" s="191"/>
      <c r="O45" s="192"/>
      <c r="P45" s="351"/>
      <c r="Q45" s="13"/>
    </row>
    <row r="46" spans="1:17" ht="19.5" customHeight="1" x14ac:dyDescent="0.3">
      <c r="A46" s="32"/>
      <c r="B46" s="184">
        <f t="shared" si="4"/>
        <v>2026</v>
      </c>
      <c r="C46" s="185">
        <f>C3</f>
        <v>12</v>
      </c>
      <c r="D46" s="186">
        <v>707</v>
      </c>
      <c r="E46" s="187">
        <v>45993</v>
      </c>
      <c r="F46" s="329">
        <v>10.7</v>
      </c>
      <c r="G46" s="188">
        <v>68</v>
      </c>
      <c r="H46" s="179" t="s">
        <v>14</v>
      </c>
      <c r="I46" s="189" t="s">
        <v>15</v>
      </c>
      <c r="J46" s="189"/>
      <c r="K46" s="186" t="s">
        <v>16</v>
      </c>
      <c r="L46" s="186"/>
      <c r="M46" s="190"/>
      <c r="N46" s="191"/>
      <c r="O46" s="192"/>
      <c r="P46" s="351"/>
      <c r="Q46" s="13"/>
    </row>
    <row r="47" spans="1:17" ht="19.5" customHeight="1" x14ac:dyDescent="0.3">
      <c r="A47" s="32"/>
      <c r="B47" s="184">
        <f t="shared" si="4"/>
        <v>2026</v>
      </c>
      <c r="C47" s="185">
        <f>C3</f>
        <v>12</v>
      </c>
      <c r="D47" s="186">
        <v>711</v>
      </c>
      <c r="E47" s="187">
        <v>45993</v>
      </c>
      <c r="F47" s="329">
        <v>5.9</v>
      </c>
      <c r="G47" s="188">
        <v>145</v>
      </c>
      <c r="H47" s="179" t="s">
        <v>14</v>
      </c>
      <c r="I47" s="189" t="s">
        <v>15</v>
      </c>
      <c r="J47" s="189"/>
      <c r="K47" s="186" t="s">
        <v>16</v>
      </c>
      <c r="L47" s="186"/>
      <c r="M47" s="190"/>
      <c r="N47" s="191"/>
      <c r="O47" s="192"/>
      <c r="P47" s="351"/>
      <c r="Q47" s="13"/>
    </row>
    <row r="48" spans="1:17" ht="19.5" customHeight="1" x14ac:dyDescent="0.3">
      <c r="A48" s="32"/>
      <c r="B48" s="193">
        <f t="shared" si="4"/>
        <v>2026</v>
      </c>
      <c r="C48" s="193">
        <f>C3</f>
        <v>12</v>
      </c>
      <c r="D48" s="194">
        <v>716</v>
      </c>
      <c r="E48" s="195">
        <v>45993</v>
      </c>
      <c r="F48" s="330">
        <v>6.3</v>
      </c>
      <c r="G48" s="196">
        <v>115</v>
      </c>
      <c r="H48" s="197" t="s">
        <v>14</v>
      </c>
      <c r="I48" s="196" t="s">
        <v>15</v>
      </c>
      <c r="J48" s="196"/>
      <c r="K48" s="194" t="s">
        <v>16</v>
      </c>
      <c r="L48" s="194"/>
      <c r="M48" s="198"/>
      <c r="N48" s="199"/>
      <c r="O48" s="200"/>
      <c r="P48" s="351"/>
      <c r="Q48" s="13"/>
    </row>
    <row r="49" spans="1:17" ht="19.5" customHeight="1" thickBot="1" x14ac:dyDescent="0.35">
      <c r="A49" s="32"/>
      <c r="B49" s="184">
        <f t="shared" si="4"/>
        <v>2026</v>
      </c>
      <c r="C49" s="185">
        <f>C3</f>
        <v>12</v>
      </c>
      <c r="D49" s="186">
        <v>723</v>
      </c>
      <c r="E49" s="187">
        <v>45993</v>
      </c>
      <c r="F49" s="329">
        <v>5.8</v>
      </c>
      <c r="G49" s="188">
        <v>120</v>
      </c>
      <c r="H49" s="179" t="s">
        <v>14</v>
      </c>
      <c r="I49" s="188" t="s">
        <v>15</v>
      </c>
      <c r="J49" s="189"/>
      <c r="K49" s="179" t="s">
        <v>16</v>
      </c>
      <c r="L49" s="179"/>
      <c r="M49" s="201"/>
      <c r="N49" s="202"/>
      <c r="O49" s="203"/>
      <c r="P49" s="352"/>
      <c r="Q49" s="13"/>
    </row>
    <row r="50" spans="1:17" ht="19.5" customHeight="1" thickBot="1" x14ac:dyDescent="0.35">
      <c r="A50" s="32"/>
      <c r="B50" s="204">
        <v>2026</v>
      </c>
      <c r="C50" s="205">
        <f>C3</f>
        <v>12</v>
      </c>
      <c r="D50" s="206">
        <v>809</v>
      </c>
      <c r="E50" s="207">
        <v>45992</v>
      </c>
      <c r="F50" s="331">
        <v>5.0999999999999996</v>
      </c>
      <c r="G50" s="208">
        <v>122</v>
      </c>
      <c r="H50" s="206" t="s">
        <v>14</v>
      </c>
      <c r="I50" s="209" t="s">
        <v>15</v>
      </c>
      <c r="J50" s="209"/>
      <c r="K50" s="206" t="s">
        <v>16</v>
      </c>
      <c r="L50" s="206"/>
      <c r="M50" s="210"/>
      <c r="N50" s="211"/>
      <c r="O50" s="212"/>
      <c r="P50" s="342" t="s">
        <v>28</v>
      </c>
      <c r="Q50" s="13"/>
    </row>
    <row r="51" spans="1:17" ht="19.5" customHeight="1" thickBot="1" x14ac:dyDescent="0.35">
      <c r="A51" s="32"/>
      <c r="B51" s="213">
        <f t="shared" si="4"/>
        <v>2026</v>
      </c>
      <c r="C51" s="214">
        <f>C3</f>
        <v>12</v>
      </c>
      <c r="D51" s="215">
        <v>812</v>
      </c>
      <c r="E51" s="216">
        <v>45992</v>
      </c>
      <c r="F51" s="332">
        <v>4.8</v>
      </c>
      <c r="G51" s="217">
        <v>109</v>
      </c>
      <c r="H51" s="215" t="s">
        <v>14</v>
      </c>
      <c r="I51" s="218" t="s">
        <v>15</v>
      </c>
      <c r="J51" s="218"/>
      <c r="K51" s="215" t="s">
        <v>16</v>
      </c>
      <c r="L51" s="215"/>
      <c r="M51" s="219"/>
      <c r="N51" s="220"/>
      <c r="O51" s="221"/>
      <c r="P51" s="342"/>
      <c r="Q51" s="13"/>
    </row>
    <row r="52" spans="1:17" ht="19.5" customHeight="1" thickBot="1" x14ac:dyDescent="0.35">
      <c r="A52" s="32"/>
      <c r="B52" s="222">
        <f t="shared" si="4"/>
        <v>2026</v>
      </c>
      <c r="C52" s="223">
        <f>C3</f>
        <v>12</v>
      </c>
      <c r="D52" s="224">
        <v>815</v>
      </c>
      <c r="E52" s="225">
        <v>45992</v>
      </c>
      <c r="F52" s="333">
        <v>4.2</v>
      </c>
      <c r="G52" s="226">
        <v>114</v>
      </c>
      <c r="H52" s="227" t="s">
        <v>14</v>
      </c>
      <c r="I52" s="228" t="s">
        <v>15</v>
      </c>
      <c r="J52" s="228"/>
      <c r="K52" s="224" t="s">
        <v>16</v>
      </c>
      <c r="L52" s="224"/>
      <c r="M52" s="229"/>
      <c r="N52" s="230"/>
      <c r="O52" s="231"/>
      <c r="P52" s="342"/>
      <c r="Q52" s="13"/>
    </row>
    <row r="53" spans="1:17" ht="19.5" customHeight="1" thickBot="1" x14ac:dyDescent="0.35">
      <c r="A53" s="32"/>
      <c r="B53" s="222">
        <f t="shared" si="4"/>
        <v>2026</v>
      </c>
      <c r="C53" s="223">
        <f>C3</f>
        <v>12</v>
      </c>
      <c r="D53" s="224">
        <v>901</v>
      </c>
      <c r="E53" s="232">
        <v>45992</v>
      </c>
      <c r="F53" s="334">
        <v>1.4</v>
      </c>
      <c r="G53" s="226">
        <v>132</v>
      </c>
      <c r="H53" s="227" t="s">
        <v>14</v>
      </c>
      <c r="I53" s="228" t="s">
        <v>15</v>
      </c>
      <c r="J53" s="228"/>
      <c r="K53" s="224" t="s">
        <v>16</v>
      </c>
      <c r="L53" s="224"/>
      <c r="M53" s="229"/>
      <c r="N53" s="230"/>
      <c r="O53" s="231"/>
      <c r="P53" s="342"/>
      <c r="Q53" s="13"/>
    </row>
    <row r="54" spans="1:17" ht="19.5" customHeight="1" thickBot="1" x14ac:dyDescent="0.35">
      <c r="A54" s="32"/>
      <c r="B54" s="222">
        <f t="shared" si="4"/>
        <v>2026</v>
      </c>
      <c r="C54" s="223">
        <f>C3</f>
        <v>12</v>
      </c>
      <c r="D54" s="224">
        <v>902</v>
      </c>
      <c r="E54" s="232">
        <v>45992</v>
      </c>
      <c r="F54" s="334">
        <v>1.4</v>
      </c>
      <c r="G54" s="226">
        <v>200</v>
      </c>
      <c r="H54" s="227" t="s">
        <v>14</v>
      </c>
      <c r="I54" s="228" t="s">
        <v>15</v>
      </c>
      <c r="J54" s="228"/>
      <c r="K54" s="224" t="s">
        <v>16</v>
      </c>
      <c r="L54" s="224"/>
      <c r="M54" s="229"/>
      <c r="N54" s="230"/>
      <c r="O54" s="231"/>
      <c r="P54" s="342"/>
      <c r="Q54" s="13"/>
    </row>
    <row r="55" spans="1:17" ht="19.5" customHeight="1" thickBot="1" x14ac:dyDescent="0.35">
      <c r="A55" s="32"/>
      <c r="B55" s="222">
        <f t="shared" si="4"/>
        <v>2026</v>
      </c>
      <c r="C55" s="223">
        <f>C3</f>
        <v>12</v>
      </c>
      <c r="D55" s="224">
        <v>906</v>
      </c>
      <c r="E55" s="232">
        <v>45992</v>
      </c>
      <c r="F55" s="334"/>
      <c r="G55" s="226">
        <v>141</v>
      </c>
      <c r="H55" s="227" t="s">
        <v>14</v>
      </c>
      <c r="I55" s="228" t="s">
        <v>15</v>
      </c>
      <c r="J55" s="228"/>
      <c r="K55" s="224" t="s">
        <v>16</v>
      </c>
      <c r="L55" s="224"/>
      <c r="M55" s="229"/>
      <c r="N55" s="230"/>
      <c r="O55" s="231"/>
      <c r="P55" s="342"/>
      <c r="Q55" s="13"/>
    </row>
    <row r="56" spans="1:17" ht="19.5" customHeight="1" thickBot="1" x14ac:dyDescent="0.35">
      <c r="A56" s="32"/>
      <c r="B56" s="222">
        <f t="shared" si="4"/>
        <v>2026</v>
      </c>
      <c r="C56" s="223">
        <f>C3</f>
        <v>12</v>
      </c>
      <c r="D56" s="224">
        <v>910</v>
      </c>
      <c r="E56" s="232">
        <v>45992</v>
      </c>
      <c r="F56" s="334">
        <v>1.6</v>
      </c>
      <c r="G56" s="226">
        <v>200</v>
      </c>
      <c r="H56" s="227" t="s">
        <v>14</v>
      </c>
      <c r="I56" s="228" t="s">
        <v>15</v>
      </c>
      <c r="J56" s="228"/>
      <c r="K56" s="224" t="s">
        <v>16</v>
      </c>
      <c r="L56" s="224"/>
      <c r="M56" s="229"/>
      <c r="N56" s="230"/>
      <c r="O56" s="231"/>
      <c r="P56" s="342"/>
      <c r="Q56" s="13"/>
    </row>
    <row r="57" spans="1:17" ht="19.5" customHeight="1" thickBot="1" x14ac:dyDescent="0.35">
      <c r="A57" s="32"/>
      <c r="B57" s="222">
        <f t="shared" si="4"/>
        <v>2026</v>
      </c>
      <c r="C57" s="223">
        <f>C3</f>
        <v>12</v>
      </c>
      <c r="D57" s="224">
        <v>912</v>
      </c>
      <c r="E57" s="232">
        <v>45992</v>
      </c>
      <c r="F57" s="334">
        <v>3.6</v>
      </c>
      <c r="G57" s="226">
        <v>151</v>
      </c>
      <c r="H57" s="227" t="s">
        <v>14</v>
      </c>
      <c r="I57" s="228" t="s">
        <v>15</v>
      </c>
      <c r="J57" s="228"/>
      <c r="K57" s="224" t="s">
        <v>16</v>
      </c>
      <c r="L57" s="224"/>
      <c r="M57" s="229"/>
      <c r="N57" s="230"/>
      <c r="O57" s="231"/>
      <c r="P57" s="342"/>
      <c r="Q57" s="13"/>
    </row>
    <row r="58" spans="1:17" ht="19.5" customHeight="1" thickBot="1" x14ac:dyDescent="0.35">
      <c r="A58" s="32"/>
      <c r="B58" s="222">
        <f t="shared" si="4"/>
        <v>2026</v>
      </c>
      <c r="C58" s="223">
        <f>C3</f>
        <v>12</v>
      </c>
      <c r="D58" s="224">
        <v>914</v>
      </c>
      <c r="E58" s="232">
        <v>45992</v>
      </c>
      <c r="F58" s="334"/>
      <c r="G58" s="226">
        <v>200</v>
      </c>
      <c r="H58" s="227" t="s">
        <v>14</v>
      </c>
      <c r="I58" s="228" t="s">
        <v>15</v>
      </c>
      <c r="J58" s="228"/>
      <c r="K58" s="224" t="s">
        <v>16</v>
      </c>
      <c r="L58" s="224"/>
      <c r="M58" s="229"/>
      <c r="N58" s="230"/>
      <c r="O58" s="231"/>
      <c r="P58" s="342"/>
      <c r="Q58" s="13"/>
    </row>
    <row r="59" spans="1:17" ht="19.5" customHeight="1" thickBot="1" x14ac:dyDescent="0.35">
      <c r="A59" s="32"/>
      <c r="B59" s="222">
        <f t="shared" si="4"/>
        <v>2026</v>
      </c>
      <c r="C59" s="223">
        <f>C3</f>
        <v>12</v>
      </c>
      <c r="D59" s="224">
        <v>915</v>
      </c>
      <c r="E59" s="232">
        <v>45992</v>
      </c>
      <c r="F59" s="334"/>
      <c r="G59" s="226">
        <v>200</v>
      </c>
      <c r="H59" s="227" t="s">
        <v>14</v>
      </c>
      <c r="I59" s="228" t="s">
        <v>15</v>
      </c>
      <c r="J59" s="228"/>
      <c r="K59" s="224" t="s">
        <v>16</v>
      </c>
      <c r="L59" s="224"/>
      <c r="M59" s="229"/>
      <c r="N59" s="230"/>
      <c r="O59" s="231"/>
      <c r="P59" s="342"/>
      <c r="Q59" s="13"/>
    </row>
    <row r="60" spans="1:17" ht="19.5" customHeight="1" thickBot="1" x14ac:dyDescent="0.35">
      <c r="A60" s="32"/>
      <c r="B60" s="222">
        <f t="shared" si="4"/>
        <v>2026</v>
      </c>
      <c r="C60" s="223">
        <f>C3</f>
        <v>12</v>
      </c>
      <c r="D60" s="224">
        <v>918</v>
      </c>
      <c r="E60" s="232">
        <v>45992</v>
      </c>
      <c r="F60" s="334">
        <v>2.4</v>
      </c>
      <c r="G60" s="226">
        <v>200</v>
      </c>
      <c r="H60" s="227" t="s">
        <v>14</v>
      </c>
      <c r="I60" s="228" t="s">
        <v>15</v>
      </c>
      <c r="J60" s="228"/>
      <c r="K60" s="224" t="s">
        <v>16</v>
      </c>
      <c r="L60" s="224"/>
      <c r="M60" s="229"/>
      <c r="N60" s="230"/>
      <c r="O60" s="231"/>
      <c r="P60" s="342"/>
      <c r="Q60" s="13"/>
    </row>
    <row r="61" spans="1:17" ht="19.5" customHeight="1" thickBot="1" x14ac:dyDescent="0.35">
      <c r="A61" s="32"/>
      <c r="B61" s="233">
        <f t="shared" si="4"/>
        <v>2026</v>
      </c>
      <c r="C61" s="234">
        <f>C3</f>
        <v>12</v>
      </c>
      <c r="D61" s="235">
        <v>919</v>
      </c>
      <c r="E61" s="236">
        <v>45992</v>
      </c>
      <c r="F61" s="335"/>
      <c r="G61" s="237">
        <v>151</v>
      </c>
      <c r="H61" s="227" t="s">
        <v>14</v>
      </c>
      <c r="I61" s="238" t="s">
        <v>15</v>
      </c>
      <c r="J61" s="238"/>
      <c r="K61" s="235" t="s">
        <v>16</v>
      </c>
      <c r="L61" s="235"/>
      <c r="M61" s="239"/>
      <c r="N61" s="240"/>
      <c r="O61" s="241"/>
      <c r="P61" s="342"/>
      <c r="Q61" s="13"/>
    </row>
    <row r="62" spans="1:17" ht="19.5" customHeight="1" x14ac:dyDescent="0.3">
      <c r="A62" s="32"/>
      <c r="B62" s="4" t="s">
        <v>18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2"/>
      <c r="B63" s="4" t="s">
        <v>19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2"/>
      <c r="B64" s="4" t="s">
        <v>20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2"/>
      <c r="B65" s="7" t="s">
        <v>17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2"/>
      <c r="B66" s="19"/>
      <c r="C66" s="19"/>
      <c r="D66" s="19"/>
      <c r="E66" s="19"/>
      <c r="F66"/>
      <c r="G66"/>
      <c r="H66"/>
      <c r="I66"/>
      <c r="J66"/>
      <c r="K66"/>
      <c r="L66"/>
      <c r="M66"/>
      <c r="N66"/>
      <c r="O66"/>
      <c r="P66"/>
      <c r="Q66"/>
      <c r="S66" s="24"/>
      <c r="T66" s="24"/>
      <c r="U66" s="25"/>
      <c r="V66" s="24"/>
      <c r="W66" s="24"/>
      <c r="X66" s="23"/>
      <c r="Y66" s="26"/>
      <c r="Z66" s="23"/>
      <c r="AA66" s="26"/>
      <c r="AB66" s="26"/>
      <c r="AC66" s="26"/>
      <c r="AD66" s="24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  <c r="Q80"/>
    </row>
    <row r="81" spans="6:17" ht="14.4" x14ac:dyDescent="0.3">
      <c r="F81"/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topLeftCell="A54" workbookViewId="0">
      <selection activeCell="H64" sqref="H64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" style="22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1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2"/>
      <c r="B3" s="38">
        <f>'Survey 12'!B3</f>
        <v>2026</v>
      </c>
      <c r="C3" s="38">
        <v>13</v>
      </c>
      <c r="D3" s="38">
        <v>306</v>
      </c>
      <c r="E3" s="39">
        <v>46007</v>
      </c>
      <c r="F3" s="317">
        <v>7.1</v>
      </c>
      <c r="G3" s="40">
        <v>62</v>
      </c>
      <c r="H3" s="38" t="s">
        <v>14</v>
      </c>
      <c r="I3" s="41" t="s">
        <v>15</v>
      </c>
      <c r="J3" s="40"/>
      <c r="K3" s="38" t="s">
        <v>16</v>
      </c>
      <c r="L3" s="40"/>
      <c r="M3" s="242"/>
      <c r="N3" s="43"/>
      <c r="O3" s="267"/>
      <c r="P3" s="343" t="s">
        <v>31</v>
      </c>
      <c r="Q3" s="13"/>
    </row>
    <row r="4" spans="1:17" ht="19.5" customHeight="1" thickBot="1" x14ac:dyDescent="0.35">
      <c r="A4" s="32"/>
      <c r="B4" s="45">
        <f>B3</f>
        <v>2026</v>
      </c>
      <c r="C4" s="46">
        <f>C3</f>
        <v>13</v>
      </c>
      <c r="D4" s="47">
        <v>308</v>
      </c>
      <c r="E4" s="48">
        <v>46007</v>
      </c>
      <c r="F4" s="53">
        <v>5.8</v>
      </c>
      <c r="G4" s="49">
        <v>81</v>
      </c>
      <c r="H4" s="50" t="s">
        <v>14</v>
      </c>
      <c r="I4" s="51" t="s">
        <v>15</v>
      </c>
      <c r="J4" s="49"/>
      <c r="K4" s="47" t="s">
        <v>16</v>
      </c>
      <c r="L4" s="49"/>
      <c r="M4" s="243"/>
      <c r="N4" s="53"/>
      <c r="O4" s="268"/>
      <c r="P4" s="343"/>
      <c r="Q4" s="13"/>
    </row>
    <row r="5" spans="1:17" ht="19.5" customHeight="1" thickBot="1" x14ac:dyDescent="0.35">
      <c r="A5" s="32"/>
      <c r="B5" s="45">
        <f t="shared" ref="B5:C15" si="0">B4</f>
        <v>2026</v>
      </c>
      <c r="C5" s="46">
        <f t="shared" si="0"/>
        <v>13</v>
      </c>
      <c r="D5" s="45">
        <v>311</v>
      </c>
      <c r="E5" s="55">
        <v>46007</v>
      </c>
      <c r="F5" s="60">
        <v>4.5</v>
      </c>
      <c r="G5" s="56">
        <v>90</v>
      </c>
      <c r="H5" s="57" t="s">
        <v>14</v>
      </c>
      <c r="I5" s="58" t="s">
        <v>15</v>
      </c>
      <c r="J5" s="56"/>
      <c r="K5" s="45" t="s">
        <v>16</v>
      </c>
      <c r="L5" s="56"/>
      <c r="M5" s="244"/>
      <c r="N5" s="60"/>
      <c r="O5" s="269"/>
      <c r="P5" s="343"/>
      <c r="Q5" s="13"/>
    </row>
    <row r="6" spans="1:17" ht="19.5" customHeight="1" thickBot="1" x14ac:dyDescent="0.35">
      <c r="A6" s="32"/>
      <c r="B6" s="45">
        <f t="shared" si="0"/>
        <v>2026</v>
      </c>
      <c r="C6" s="46">
        <f t="shared" si="0"/>
        <v>13</v>
      </c>
      <c r="D6" s="45">
        <v>315</v>
      </c>
      <c r="E6" s="55">
        <v>46007</v>
      </c>
      <c r="F6" s="60">
        <v>9.6999999999999993</v>
      </c>
      <c r="G6" s="56">
        <v>57</v>
      </c>
      <c r="H6" s="57" t="s">
        <v>14</v>
      </c>
      <c r="I6" s="58" t="s">
        <v>15</v>
      </c>
      <c r="J6" s="56"/>
      <c r="K6" s="45" t="s">
        <v>16</v>
      </c>
      <c r="L6" s="56"/>
      <c r="M6" s="244"/>
      <c r="N6" s="60"/>
      <c r="O6" s="269"/>
      <c r="P6" s="343"/>
      <c r="Q6" s="13"/>
    </row>
    <row r="7" spans="1:17" ht="19.5" customHeight="1" thickBot="1" x14ac:dyDescent="0.35">
      <c r="A7" s="32"/>
      <c r="B7" s="45">
        <f t="shared" si="0"/>
        <v>2026</v>
      </c>
      <c r="C7" s="46">
        <f t="shared" si="0"/>
        <v>13</v>
      </c>
      <c r="D7" s="45">
        <v>322</v>
      </c>
      <c r="E7" s="55">
        <v>46007</v>
      </c>
      <c r="F7" s="60">
        <v>7.6</v>
      </c>
      <c r="G7" s="56">
        <v>67</v>
      </c>
      <c r="H7" s="57" t="s">
        <v>14</v>
      </c>
      <c r="I7" s="58" t="s">
        <v>15</v>
      </c>
      <c r="J7" s="56"/>
      <c r="K7" s="45" t="s">
        <v>16</v>
      </c>
      <c r="L7" s="56"/>
      <c r="M7" s="244"/>
      <c r="N7" s="60"/>
      <c r="O7" s="269"/>
      <c r="P7" s="343"/>
      <c r="Q7" s="13"/>
    </row>
    <row r="8" spans="1:17" ht="19.5" customHeight="1" thickBot="1" x14ac:dyDescent="0.35">
      <c r="A8" s="32"/>
      <c r="B8" s="45">
        <f t="shared" si="0"/>
        <v>2026</v>
      </c>
      <c r="C8" s="46">
        <f t="shared" si="0"/>
        <v>13</v>
      </c>
      <c r="D8" s="45">
        <v>323</v>
      </c>
      <c r="E8" s="55">
        <v>46007</v>
      </c>
      <c r="F8" s="60">
        <v>8</v>
      </c>
      <c r="G8" s="56">
        <v>75</v>
      </c>
      <c r="H8" s="57" t="s">
        <v>14</v>
      </c>
      <c r="I8" s="58" t="s">
        <v>15</v>
      </c>
      <c r="J8" s="56"/>
      <c r="K8" s="45" t="s">
        <v>16</v>
      </c>
      <c r="L8" s="56"/>
      <c r="M8" s="244"/>
      <c r="N8" s="60"/>
      <c r="O8" s="269"/>
      <c r="P8" s="343"/>
      <c r="Q8" s="13"/>
    </row>
    <row r="9" spans="1:17" ht="19.5" customHeight="1" thickBot="1" x14ac:dyDescent="0.35">
      <c r="A9" s="32"/>
      <c r="B9" s="45">
        <f t="shared" si="0"/>
        <v>2026</v>
      </c>
      <c r="C9" s="46">
        <f t="shared" si="0"/>
        <v>13</v>
      </c>
      <c r="D9" s="45">
        <v>327</v>
      </c>
      <c r="E9" s="55">
        <v>46007</v>
      </c>
      <c r="F9" s="60">
        <v>20.6</v>
      </c>
      <c r="G9" s="56">
        <v>39</v>
      </c>
      <c r="H9" s="57" t="s">
        <v>14</v>
      </c>
      <c r="I9" s="58" t="s">
        <v>15</v>
      </c>
      <c r="J9" s="56"/>
      <c r="K9" s="45" t="s">
        <v>16</v>
      </c>
      <c r="L9" s="56"/>
      <c r="M9" s="244"/>
      <c r="N9" s="60"/>
      <c r="O9" s="269"/>
      <c r="P9" s="343"/>
      <c r="Q9" s="13"/>
    </row>
    <row r="10" spans="1:17" ht="19.5" customHeight="1" thickBot="1" x14ac:dyDescent="0.35">
      <c r="A10" s="32"/>
      <c r="B10" s="45">
        <f t="shared" si="0"/>
        <v>2026</v>
      </c>
      <c r="C10" s="46">
        <f t="shared" si="0"/>
        <v>13</v>
      </c>
      <c r="D10" s="45">
        <v>328</v>
      </c>
      <c r="E10" s="55">
        <v>46007</v>
      </c>
      <c r="F10" s="60">
        <v>9</v>
      </c>
      <c r="G10" s="56">
        <v>73</v>
      </c>
      <c r="H10" s="57" t="s">
        <v>14</v>
      </c>
      <c r="I10" s="58" t="s">
        <v>15</v>
      </c>
      <c r="J10" s="56"/>
      <c r="K10" s="45" t="s">
        <v>16</v>
      </c>
      <c r="L10" s="56"/>
      <c r="M10" s="244"/>
      <c r="N10" s="60"/>
      <c r="O10" s="269"/>
      <c r="P10" s="343"/>
      <c r="Q10" s="13"/>
    </row>
    <row r="11" spans="1:17" ht="19.5" customHeight="1" thickBot="1" x14ac:dyDescent="0.35">
      <c r="A11" s="32"/>
      <c r="B11" s="45">
        <f t="shared" si="0"/>
        <v>2026</v>
      </c>
      <c r="C11" s="46">
        <f t="shared" si="0"/>
        <v>13</v>
      </c>
      <c r="D11" s="45">
        <v>329</v>
      </c>
      <c r="E11" s="55">
        <v>46007</v>
      </c>
      <c r="F11" s="60">
        <v>8.9</v>
      </c>
      <c r="G11" s="56">
        <v>68</v>
      </c>
      <c r="H11" s="57" t="s">
        <v>14</v>
      </c>
      <c r="I11" s="58" t="s">
        <v>15</v>
      </c>
      <c r="J11" s="56"/>
      <c r="K11" s="45" t="s">
        <v>16</v>
      </c>
      <c r="L11" s="56"/>
      <c r="M11" s="244"/>
      <c r="N11" s="60"/>
      <c r="O11" s="269"/>
      <c r="P11" s="343"/>
      <c r="Q11" s="13"/>
    </row>
    <row r="12" spans="1:17" ht="19.5" customHeight="1" thickBot="1" x14ac:dyDescent="0.35">
      <c r="A12" s="32"/>
      <c r="B12" s="45">
        <f t="shared" si="0"/>
        <v>2026</v>
      </c>
      <c r="C12" s="46">
        <f t="shared" si="0"/>
        <v>13</v>
      </c>
      <c r="D12" s="45">
        <v>330</v>
      </c>
      <c r="E12" s="55">
        <v>46007</v>
      </c>
      <c r="F12" s="60">
        <v>6.1</v>
      </c>
      <c r="G12" s="56">
        <v>87</v>
      </c>
      <c r="H12" s="57" t="s">
        <v>14</v>
      </c>
      <c r="I12" s="58" t="s">
        <v>15</v>
      </c>
      <c r="J12" s="56"/>
      <c r="K12" s="45" t="s">
        <v>16</v>
      </c>
      <c r="L12" s="56"/>
      <c r="M12" s="244"/>
      <c r="N12" s="60"/>
      <c r="O12" s="269"/>
      <c r="P12" s="343"/>
      <c r="Q12" s="13"/>
    </row>
    <row r="13" spans="1:17" ht="19.5" customHeight="1" thickBot="1" x14ac:dyDescent="0.35">
      <c r="A13" s="32"/>
      <c r="B13" s="45">
        <f t="shared" si="0"/>
        <v>2026</v>
      </c>
      <c r="C13" s="46">
        <f t="shared" si="0"/>
        <v>13</v>
      </c>
      <c r="D13" s="45">
        <v>335</v>
      </c>
      <c r="E13" s="55">
        <v>46007</v>
      </c>
      <c r="F13" s="60">
        <v>8.6999999999999993</v>
      </c>
      <c r="G13" s="56">
        <v>68</v>
      </c>
      <c r="H13" s="57" t="s">
        <v>14</v>
      </c>
      <c r="I13" s="58" t="s">
        <v>15</v>
      </c>
      <c r="J13" s="56"/>
      <c r="K13" s="45" t="s">
        <v>16</v>
      </c>
      <c r="L13" s="56"/>
      <c r="M13" s="244"/>
      <c r="N13" s="60"/>
      <c r="O13" s="269"/>
      <c r="P13" s="343"/>
      <c r="Q13" s="13"/>
    </row>
    <row r="14" spans="1:17" ht="19.5" customHeight="1" thickBot="1" x14ac:dyDescent="0.35">
      <c r="A14" s="32"/>
      <c r="B14" s="45">
        <f t="shared" si="0"/>
        <v>2026</v>
      </c>
      <c r="C14" s="46">
        <f t="shared" si="0"/>
        <v>13</v>
      </c>
      <c r="D14" s="45">
        <v>336</v>
      </c>
      <c r="E14" s="55">
        <v>46007</v>
      </c>
      <c r="F14" s="60">
        <v>10.4</v>
      </c>
      <c r="G14" s="56">
        <v>67</v>
      </c>
      <c r="H14" s="57" t="s">
        <v>14</v>
      </c>
      <c r="I14" s="58" t="s">
        <v>15</v>
      </c>
      <c r="J14" s="56"/>
      <c r="K14" s="45" t="s">
        <v>16</v>
      </c>
      <c r="L14" s="56"/>
      <c r="M14" s="244"/>
      <c r="N14" s="60"/>
      <c r="O14" s="269"/>
      <c r="P14" s="343"/>
      <c r="Q14" s="13"/>
    </row>
    <row r="15" spans="1:17" ht="19.5" customHeight="1" thickBot="1" x14ac:dyDescent="0.35">
      <c r="A15" s="32"/>
      <c r="B15" s="62">
        <f>B14</f>
        <v>2026</v>
      </c>
      <c r="C15" s="46">
        <f t="shared" si="0"/>
        <v>13</v>
      </c>
      <c r="D15" s="62">
        <v>338</v>
      </c>
      <c r="E15" s="63">
        <v>46006</v>
      </c>
      <c r="F15" s="67">
        <v>5.7</v>
      </c>
      <c r="G15" s="64">
        <v>92</v>
      </c>
      <c r="H15" s="57" t="s">
        <v>14</v>
      </c>
      <c r="I15" s="65" t="s">
        <v>15</v>
      </c>
      <c r="J15" s="64"/>
      <c r="K15" s="62" t="s">
        <v>16</v>
      </c>
      <c r="L15" s="64"/>
      <c r="M15" s="245"/>
      <c r="N15" s="67"/>
      <c r="O15" s="270"/>
      <c r="P15" s="343"/>
      <c r="Q15" s="13"/>
    </row>
    <row r="16" spans="1:17" ht="19.5" customHeight="1" x14ac:dyDescent="0.3">
      <c r="A16" s="32"/>
      <c r="B16" s="69">
        <f>B15</f>
        <v>2026</v>
      </c>
      <c r="C16" s="70">
        <f>C3</f>
        <v>13</v>
      </c>
      <c r="D16" s="69">
        <v>340</v>
      </c>
      <c r="E16" s="71">
        <v>46006</v>
      </c>
      <c r="F16" s="318">
        <v>13.1</v>
      </c>
      <c r="G16" s="72">
        <v>68</v>
      </c>
      <c r="H16" s="69" t="s">
        <v>14</v>
      </c>
      <c r="I16" s="73" t="s">
        <v>15</v>
      </c>
      <c r="J16" s="73"/>
      <c r="K16" s="69" t="s">
        <v>16</v>
      </c>
      <c r="L16" s="73"/>
      <c r="M16" s="246"/>
      <c r="N16" s="75"/>
      <c r="O16" s="271"/>
      <c r="P16" s="344" t="s">
        <v>12</v>
      </c>
      <c r="Q16" s="13"/>
    </row>
    <row r="17" spans="1:17" ht="19.5" customHeight="1" x14ac:dyDescent="0.3">
      <c r="A17" s="32"/>
      <c r="B17" s="77">
        <f>B16</f>
        <v>2026</v>
      </c>
      <c r="C17" s="77">
        <f>C3</f>
        <v>13</v>
      </c>
      <c r="D17" s="78">
        <v>342</v>
      </c>
      <c r="E17" s="79">
        <v>46006</v>
      </c>
      <c r="F17" s="319">
        <v>10.4</v>
      </c>
      <c r="G17" s="80">
        <v>55</v>
      </c>
      <c r="H17" s="78" t="s">
        <v>14</v>
      </c>
      <c r="I17" s="81" t="s">
        <v>15</v>
      </c>
      <c r="J17" s="81"/>
      <c r="K17" s="78" t="s">
        <v>16</v>
      </c>
      <c r="L17" s="81"/>
      <c r="M17" s="247"/>
      <c r="N17" s="83"/>
      <c r="O17" s="272"/>
      <c r="P17" s="345"/>
      <c r="Q17" s="13"/>
    </row>
    <row r="18" spans="1:17" ht="19.5" customHeight="1" x14ac:dyDescent="0.3">
      <c r="A18" s="32"/>
      <c r="B18" s="77">
        <f t="shared" ref="B18:B19" si="1">B17</f>
        <v>2026</v>
      </c>
      <c r="C18" s="77">
        <f>C3</f>
        <v>13</v>
      </c>
      <c r="D18" s="78">
        <v>343</v>
      </c>
      <c r="E18" s="79">
        <v>46006</v>
      </c>
      <c r="F18" s="319">
        <v>10.8</v>
      </c>
      <c r="G18" s="80">
        <v>71</v>
      </c>
      <c r="H18" s="78" t="s">
        <v>14</v>
      </c>
      <c r="I18" s="81" t="s">
        <v>15</v>
      </c>
      <c r="J18" s="81"/>
      <c r="K18" s="78" t="s">
        <v>16</v>
      </c>
      <c r="L18" s="81"/>
      <c r="M18" s="247"/>
      <c r="N18" s="83"/>
      <c r="O18" s="272"/>
      <c r="P18" s="345"/>
      <c r="Q18" s="13"/>
    </row>
    <row r="19" spans="1:17" ht="19.5" customHeight="1" x14ac:dyDescent="0.3">
      <c r="A19" s="32"/>
      <c r="B19" s="77">
        <f t="shared" si="1"/>
        <v>2026</v>
      </c>
      <c r="C19" s="77">
        <f>C4</f>
        <v>13</v>
      </c>
      <c r="D19" s="78">
        <v>344</v>
      </c>
      <c r="E19" s="79">
        <v>46006</v>
      </c>
      <c r="F19" s="319">
        <v>9.3000000000000007</v>
      </c>
      <c r="G19" s="80">
        <v>63</v>
      </c>
      <c r="H19" s="78" t="s">
        <v>14</v>
      </c>
      <c r="I19" s="81" t="s">
        <v>15</v>
      </c>
      <c r="J19" s="81"/>
      <c r="K19" s="78" t="s">
        <v>16</v>
      </c>
      <c r="L19" s="81"/>
      <c r="M19" s="247"/>
      <c r="N19" s="83"/>
      <c r="O19" s="272"/>
      <c r="P19" s="345"/>
      <c r="Q19" s="13"/>
    </row>
    <row r="20" spans="1:17" ht="19.5" customHeight="1" x14ac:dyDescent="0.3">
      <c r="A20" s="32"/>
      <c r="B20" s="77">
        <f>B19</f>
        <v>2026</v>
      </c>
      <c r="C20" s="77">
        <f>C5</f>
        <v>13</v>
      </c>
      <c r="D20" s="78">
        <v>345</v>
      </c>
      <c r="E20" s="79">
        <v>46006</v>
      </c>
      <c r="F20" s="319">
        <v>8.1999999999999993</v>
      </c>
      <c r="G20" s="80">
        <v>77</v>
      </c>
      <c r="H20" s="78" t="s">
        <v>14</v>
      </c>
      <c r="I20" s="81" t="s">
        <v>15</v>
      </c>
      <c r="J20" s="81"/>
      <c r="K20" s="78" t="s">
        <v>16</v>
      </c>
      <c r="L20" s="81"/>
      <c r="M20" s="247"/>
      <c r="N20" s="83"/>
      <c r="O20" s="272"/>
      <c r="P20" s="345"/>
      <c r="Q20" s="13"/>
    </row>
    <row r="21" spans="1:17" ht="19.5" customHeight="1" x14ac:dyDescent="0.3">
      <c r="A21" s="32"/>
      <c r="B21" s="85">
        <f>B20</f>
        <v>2026</v>
      </c>
      <c r="C21" s="85">
        <f>C6</f>
        <v>13</v>
      </c>
      <c r="D21" s="86">
        <v>346</v>
      </c>
      <c r="E21" s="79">
        <v>46006</v>
      </c>
      <c r="F21" s="319">
        <v>5.2</v>
      </c>
      <c r="G21" s="80">
        <v>74</v>
      </c>
      <c r="H21" s="78" t="s">
        <v>14</v>
      </c>
      <c r="I21" s="81" t="s">
        <v>15</v>
      </c>
      <c r="J21" s="81"/>
      <c r="K21" s="78" t="s">
        <v>16</v>
      </c>
      <c r="L21" s="81"/>
      <c r="M21" s="247"/>
      <c r="N21" s="83"/>
      <c r="O21" s="272"/>
      <c r="P21" s="345"/>
      <c r="Q21" s="13"/>
    </row>
    <row r="22" spans="1:17" ht="19.5" customHeight="1" x14ac:dyDescent="0.3">
      <c r="A22" s="32"/>
      <c r="B22" s="87">
        <f t="shared" ref="B22" si="2">B21</f>
        <v>2026</v>
      </c>
      <c r="C22" s="77">
        <f>C7</f>
        <v>13</v>
      </c>
      <c r="D22" s="78">
        <v>347</v>
      </c>
      <c r="E22" s="88">
        <v>46006</v>
      </c>
      <c r="F22" s="320">
        <v>2.8</v>
      </c>
      <c r="G22" s="80">
        <v>168</v>
      </c>
      <c r="H22" s="78" t="s">
        <v>14</v>
      </c>
      <c r="I22" s="81" t="s">
        <v>15</v>
      </c>
      <c r="J22" s="81"/>
      <c r="K22" s="78" t="s">
        <v>16</v>
      </c>
      <c r="L22" s="81"/>
      <c r="M22" s="247"/>
      <c r="N22" s="83"/>
      <c r="O22" s="272"/>
      <c r="P22" s="345"/>
      <c r="Q22" s="13"/>
    </row>
    <row r="23" spans="1:17" ht="19.5" customHeight="1" x14ac:dyDescent="0.3">
      <c r="A23" s="32"/>
      <c r="B23" s="77">
        <f>B22</f>
        <v>2026</v>
      </c>
      <c r="C23" s="89">
        <f>C5</f>
        <v>13</v>
      </c>
      <c r="D23" s="90">
        <v>348</v>
      </c>
      <c r="E23" s="79">
        <v>46006</v>
      </c>
      <c r="F23" s="319">
        <v>2.4</v>
      </c>
      <c r="G23" s="80">
        <v>159</v>
      </c>
      <c r="H23" s="78" t="s">
        <v>14</v>
      </c>
      <c r="I23" s="81" t="s">
        <v>15</v>
      </c>
      <c r="J23" s="81"/>
      <c r="K23" s="78" t="s">
        <v>16</v>
      </c>
      <c r="L23" s="81"/>
      <c r="M23" s="247"/>
      <c r="N23" s="91"/>
      <c r="O23" s="273"/>
      <c r="P23" s="345"/>
      <c r="Q23" s="13"/>
    </row>
    <row r="24" spans="1:17" ht="19.5" customHeight="1" thickBot="1" x14ac:dyDescent="0.35">
      <c r="A24" s="32"/>
      <c r="B24" s="93">
        <f>B23</f>
        <v>2026</v>
      </c>
      <c r="C24" s="85">
        <f>C6</f>
        <v>13</v>
      </c>
      <c r="D24" s="94">
        <v>349</v>
      </c>
      <c r="E24" s="95">
        <v>46006</v>
      </c>
      <c r="F24" s="321">
        <v>6.8</v>
      </c>
      <c r="G24" s="96">
        <v>136</v>
      </c>
      <c r="H24" s="94" t="s">
        <v>14</v>
      </c>
      <c r="I24" s="97" t="s">
        <v>15</v>
      </c>
      <c r="J24" s="97"/>
      <c r="K24" s="94" t="s">
        <v>16</v>
      </c>
      <c r="L24" s="97"/>
      <c r="M24" s="248"/>
      <c r="N24" s="99"/>
      <c r="O24" s="274"/>
      <c r="P24" s="346"/>
      <c r="Q24" s="13"/>
    </row>
    <row r="25" spans="1:17" ht="19.5" customHeight="1" thickBot="1" x14ac:dyDescent="0.35">
      <c r="A25" s="32"/>
      <c r="B25" s="101">
        <f>B24</f>
        <v>2026</v>
      </c>
      <c r="C25" s="102">
        <f>C3</f>
        <v>13</v>
      </c>
      <c r="D25" s="101">
        <v>401</v>
      </c>
      <c r="E25" s="103">
        <v>46006</v>
      </c>
      <c r="F25" s="322">
        <v>6.9</v>
      </c>
      <c r="G25" s="104">
        <v>78</v>
      </c>
      <c r="H25" s="101" t="s">
        <v>14</v>
      </c>
      <c r="I25" s="105" t="s">
        <v>15</v>
      </c>
      <c r="J25" s="105"/>
      <c r="K25" s="101" t="s">
        <v>16</v>
      </c>
      <c r="L25" s="105"/>
      <c r="M25" s="249"/>
      <c r="N25" s="107"/>
      <c r="O25" s="275"/>
      <c r="P25" s="347" t="s">
        <v>32</v>
      </c>
      <c r="Q25" s="13"/>
    </row>
    <row r="26" spans="1:17" ht="19.5" customHeight="1" thickBot="1" x14ac:dyDescent="0.35">
      <c r="A26" s="32"/>
      <c r="B26" s="101">
        <f t="shared" ref="B26:B61" si="3">B25</f>
        <v>2026</v>
      </c>
      <c r="C26" s="109">
        <f>C3</f>
        <v>13</v>
      </c>
      <c r="D26" s="110">
        <v>404</v>
      </c>
      <c r="E26" s="111">
        <v>46007</v>
      </c>
      <c r="F26" s="322">
        <v>7.6</v>
      </c>
      <c r="G26" s="104">
        <v>80</v>
      </c>
      <c r="H26" s="110" t="s">
        <v>14</v>
      </c>
      <c r="I26" s="112" t="s">
        <v>15</v>
      </c>
      <c r="J26" s="112"/>
      <c r="K26" s="110" t="s">
        <v>16</v>
      </c>
      <c r="L26" s="112"/>
      <c r="M26" s="250"/>
      <c r="N26" s="114"/>
      <c r="O26" s="276"/>
      <c r="P26" s="347"/>
      <c r="Q26" s="13"/>
    </row>
    <row r="27" spans="1:17" ht="19.5" customHeight="1" thickBot="1" x14ac:dyDescent="0.35">
      <c r="A27" s="32"/>
      <c r="B27" s="116">
        <f t="shared" si="3"/>
        <v>2026</v>
      </c>
      <c r="C27" s="116">
        <f>C3</f>
        <v>13</v>
      </c>
      <c r="D27" s="117">
        <v>405</v>
      </c>
      <c r="E27" s="118">
        <v>46007</v>
      </c>
      <c r="F27" s="121">
        <v>8.1999999999999993</v>
      </c>
      <c r="G27" s="119">
        <v>76</v>
      </c>
      <c r="H27" s="117" t="s">
        <v>14</v>
      </c>
      <c r="I27" s="119" t="s">
        <v>15</v>
      </c>
      <c r="J27" s="119"/>
      <c r="K27" s="117" t="s">
        <v>16</v>
      </c>
      <c r="L27" s="119"/>
      <c r="M27" s="251"/>
      <c r="N27" s="121"/>
      <c r="O27" s="277"/>
      <c r="P27" s="347"/>
      <c r="Q27" s="13"/>
    </row>
    <row r="28" spans="1:17" ht="19.5" customHeight="1" thickBot="1" x14ac:dyDescent="0.35">
      <c r="A28" s="32"/>
      <c r="B28" s="123">
        <f t="shared" si="3"/>
        <v>2026</v>
      </c>
      <c r="C28" s="123">
        <f>C3</f>
        <v>13</v>
      </c>
      <c r="D28" s="124">
        <v>411</v>
      </c>
      <c r="E28" s="125">
        <v>46008</v>
      </c>
      <c r="F28" s="128">
        <v>12.9</v>
      </c>
      <c r="G28" s="126">
        <v>68</v>
      </c>
      <c r="H28" s="124" t="s">
        <v>14</v>
      </c>
      <c r="I28" s="126" t="s">
        <v>15</v>
      </c>
      <c r="J28" s="126"/>
      <c r="K28" s="124" t="s">
        <v>16</v>
      </c>
      <c r="L28" s="126"/>
      <c r="M28" s="252"/>
      <c r="N28" s="128"/>
      <c r="O28" s="278"/>
      <c r="P28" s="348" t="s">
        <v>33</v>
      </c>
      <c r="Q28" s="13"/>
    </row>
    <row r="29" spans="1:17" ht="19.5" customHeight="1" thickBot="1" x14ac:dyDescent="0.35">
      <c r="A29" s="32"/>
      <c r="B29" s="130">
        <f t="shared" si="3"/>
        <v>2026</v>
      </c>
      <c r="C29" s="130">
        <f>C3</f>
        <v>13</v>
      </c>
      <c r="D29" s="131">
        <v>418</v>
      </c>
      <c r="E29" s="132">
        <v>46008</v>
      </c>
      <c r="F29" s="135">
        <v>7.3</v>
      </c>
      <c r="G29" s="133">
        <v>77</v>
      </c>
      <c r="H29" s="131" t="s">
        <v>14</v>
      </c>
      <c r="I29" s="133" t="s">
        <v>15</v>
      </c>
      <c r="J29" s="133"/>
      <c r="K29" s="131" t="s">
        <v>16</v>
      </c>
      <c r="L29" s="133"/>
      <c r="M29" s="253"/>
      <c r="N29" s="135"/>
      <c r="O29" s="279"/>
      <c r="P29" s="348"/>
      <c r="Q29" s="13"/>
    </row>
    <row r="30" spans="1:17" ht="19.5" customHeight="1" thickBot="1" x14ac:dyDescent="0.35">
      <c r="A30" s="32"/>
      <c r="B30" s="130">
        <f t="shared" si="3"/>
        <v>2026</v>
      </c>
      <c r="C30" s="130">
        <f>C3</f>
        <v>13</v>
      </c>
      <c r="D30" s="131">
        <v>501</v>
      </c>
      <c r="E30" s="137">
        <v>46008</v>
      </c>
      <c r="F30" s="323">
        <v>22.8</v>
      </c>
      <c r="G30" s="138">
        <v>53</v>
      </c>
      <c r="H30" s="131" t="s">
        <v>14</v>
      </c>
      <c r="I30" s="133" t="s">
        <v>15</v>
      </c>
      <c r="J30" s="133"/>
      <c r="K30" s="131" t="s">
        <v>16</v>
      </c>
      <c r="L30" s="133"/>
      <c r="M30" s="253"/>
      <c r="N30" s="135"/>
      <c r="O30" s="279"/>
      <c r="P30" s="348"/>
      <c r="Q30" s="13"/>
    </row>
    <row r="31" spans="1:17" ht="19.5" customHeight="1" thickBot="1" x14ac:dyDescent="0.35">
      <c r="A31" s="32"/>
      <c r="B31" s="130">
        <f t="shared" si="3"/>
        <v>2026</v>
      </c>
      <c r="C31" s="130">
        <f>C3</f>
        <v>13</v>
      </c>
      <c r="D31" s="131">
        <v>504</v>
      </c>
      <c r="E31" s="132">
        <v>46008</v>
      </c>
      <c r="F31" s="135">
        <v>12.4</v>
      </c>
      <c r="G31" s="133">
        <v>53</v>
      </c>
      <c r="H31" s="131" t="s">
        <v>14</v>
      </c>
      <c r="I31" s="133" t="s">
        <v>15</v>
      </c>
      <c r="J31" s="133"/>
      <c r="K31" s="131" t="s">
        <v>16</v>
      </c>
      <c r="L31" s="133"/>
      <c r="M31" s="253"/>
      <c r="N31" s="135"/>
      <c r="O31" s="279"/>
      <c r="P31" s="348"/>
      <c r="Q31" s="13"/>
    </row>
    <row r="32" spans="1:17" ht="19.5" customHeight="1" thickBot="1" x14ac:dyDescent="0.35">
      <c r="A32" s="32"/>
      <c r="B32" s="130">
        <f t="shared" si="3"/>
        <v>2026</v>
      </c>
      <c r="C32" s="130">
        <f>C3</f>
        <v>13</v>
      </c>
      <c r="D32" s="131">
        <v>519</v>
      </c>
      <c r="E32" s="132">
        <v>46008</v>
      </c>
      <c r="F32" s="135">
        <v>19.7</v>
      </c>
      <c r="G32" s="133">
        <v>44</v>
      </c>
      <c r="H32" s="131" t="s">
        <v>14</v>
      </c>
      <c r="I32" s="133" t="s">
        <v>15</v>
      </c>
      <c r="J32" s="133"/>
      <c r="K32" s="131" t="s">
        <v>16</v>
      </c>
      <c r="L32" s="133"/>
      <c r="M32" s="253"/>
      <c r="N32" s="135"/>
      <c r="O32" s="279"/>
      <c r="P32" s="348"/>
      <c r="Q32" s="13"/>
    </row>
    <row r="33" spans="1:17" ht="19.5" customHeight="1" thickBot="1" x14ac:dyDescent="0.35">
      <c r="A33" s="32"/>
      <c r="B33" s="130">
        <f t="shared" si="3"/>
        <v>2026</v>
      </c>
      <c r="C33" s="130">
        <f>C3</f>
        <v>13</v>
      </c>
      <c r="D33" s="131">
        <v>602</v>
      </c>
      <c r="E33" s="137">
        <v>46008</v>
      </c>
      <c r="F33" s="323">
        <v>12.9</v>
      </c>
      <c r="G33" s="138">
        <v>64</v>
      </c>
      <c r="H33" s="131" t="s">
        <v>14</v>
      </c>
      <c r="I33" s="133" t="s">
        <v>15</v>
      </c>
      <c r="J33" s="133"/>
      <c r="K33" s="131" t="s">
        <v>16</v>
      </c>
      <c r="L33" s="133"/>
      <c r="M33" s="253"/>
      <c r="N33" s="135"/>
      <c r="O33" s="279"/>
      <c r="P33" s="348"/>
      <c r="Q33" s="13"/>
    </row>
    <row r="34" spans="1:17" ht="19.5" customHeight="1" thickBot="1" x14ac:dyDescent="0.35">
      <c r="A34" s="32"/>
      <c r="B34" s="130">
        <f t="shared" si="3"/>
        <v>2026</v>
      </c>
      <c r="C34" s="130">
        <f>C3</f>
        <v>13</v>
      </c>
      <c r="D34" s="131">
        <v>606</v>
      </c>
      <c r="E34" s="132">
        <v>46008</v>
      </c>
      <c r="F34" s="135">
        <v>14.6</v>
      </c>
      <c r="G34" s="133">
        <v>55</v>
      </c>
      <c r="H34" s="131" t="s">
        <v>14</v>
      </c>
      <c r="I34" s="133" t="s">
        <v>15</v>
      </c>
      <c r="J34" s="133"/>
      <c r="K34" s="131" t="s">
        <v>16</v>
      </c>
      <c r="L34" s="133"/>
      <c r="M34" s="253"/>
      <c r="N34" s="135"/>
      <c r="O34" s="279"/>
      <c r="P34" s="348"/>
      <c r="Q34" s="13"/>
    </row>
    <row r="35" spans="1:17" ht="19.5" customHeight="1" thickBot="1" x14ac:dyDescent="0.35">
      <c r="A35" s="32"/>
      <c r="B35" s="130">
        <f t="shared" si="3"/>
        <v>2026</v>
      </c>
      <c r="C35" s="130">
        <f>C3</f>
        <v>13</v>
      </c>
      <c r="D35" s="131">
        <v>609</v>
      </c>
      <c r="E35" s="132">
        <v>46008</v>
      </c>
      <c r="F35" s="135">
        <v>14.4</v>
      </c>
      <c r="G35" s="133">
        <v>52</v>
      </c>
      <c r="H35" s="131" t="s">
        <v>14</v>
      </c>
      <c r="I35" s="133" t="s">
        <v>15</v>
      </c>
      <c r="J35" s="133"/>
      <c r="K35" s="131" t="s">
        <v>16</v>
      </c>
      <c r="L35" s="133"/>
      <c r="M35" s="253"/>
      <c r="N35" s="135"/>
      <c r="O35" s="279"/>
      <c r="P35" s="348"/>
      <c r="Q35" s="13"/>
    </row>
    <row r="36" spans="1:17" ht="19.5" customHeight="1" thickBot="1" x14ac:dyDescent="0.35">
      <c r="A36" s="32"/>
      <c r="B36" s="139">
        <f t="shared" si="3"/>
        <v>2026</v>
      </c>
      <c r="C36" s="140">
        <f>C3</f>
        <v>13</v>
      </c>
      <c r="D36" s="141">
        <v>610</v>
      </c>
      <c r="E36" s="142">
        <v>46008</v>
      </c>
      <c r="F36" s="324">
        <v>16.7</v>
      </c>
      <c r="G36" s="143">
        <v>49</v>
      </c>
      <c r="H36" s="141" t="s">
        <v>14</v>
      </c>
      <c r="I36" s="144" t="s">
        <v>15</v>
      </c>
      <c r="J36" s="144"/>
      <c r="K36" s="141" t="s">
        <v>16</v>
      </c>
      <c r="L36" s="144"/>
      <c r="M36" s="254"/>
      <c r="N36" s="146"/>
      <c r="O36" s="280"/>
      <c r="P36" s="348"/>
      <c r="Q36" s="13"/>
    </row>
    <row r="37" spans="1:17" ht="19.5" customHeight="1" thickBot="1" x14ac:dyDescent="0.35">
      <c r="A37" s="32"/>
      <c r="B37" s="148">
        <f t="shared" si="3"/>
        <v>2026</v>
      </c>
      <c r="C37" s="149">
        <f>C3</f>
        <v>13</v>
      </c>
      <c r="D37" s="150">
        <v>508</v>
      </c>
      <c r="E37" s="151">
        <v>46008</v>
      </c>
      <c r="F37" s="325">
        <v>14.9</v>
      </c>
      <c r="G37" s="152">
        <v>49</v>
      </c>
      <c r="H37" s="153" t="s">
        <v>14</v>
      </c>
      <c r="I37" s="153" t="s">
        <v>15</v>
      </c>
      <c r="J37" s="153"/>
      <c r="K37" s="150" t="s">
        <v>16</v>
      </c>
      <c r="L37" s="153"/>
      <c r="M37" s="255"/>
      <c r="N37" s="155"/>
      <c r="O37" s="281"/>
      <c r="P37" s="349" t="s">
        <v>13</v>
      </c>
      <c r="Q37" s="13"/>
    </row>
    <row r="38" spans="1:17" ht="19.5" customHeight="1" thickBot="1" x14ac:dyDescent="0.35">
      <c r="A38" s="32"/>
      <c r="B38" s="157">
        <f t="shared" si="3"/>
        <v>2026</v>
      </c>
      <c r="C38" s="149">
        <f>C3</f>
        <v>13</v>
      </c>
      <c r="D38" s="158">
        <v>513</v>
      </c>
      <c r="E38" s="159">
        <v>46007</v>
      </c>
      <c r="F38" s="326">
        <v>10.1</v>
      </c>
      <c r="G38" s="160">
        <v>57</v>
      </c>
      <c r="H38" s="161" t="s">
        <v>14</v>
      </c>
      <c r="I38" s="161" t="s">
        <v>24</v>
      </c>
      <c r="J38" s="161">
        <v>1</v>
      </c>
      <c r="K38" s="158" t="s">
        <v>16</v>
      </c>
      <c r="L38" s="161">
        <v>6</v>
      </c>
      <c r="M38" s="256">
        <v>6</v>
      </c>
      <c r="N38" s="163">
        <v>6</v>
      </c>
      <c r="O38" s="282">
        <v>1</v>
      </c>
      <c r="P38" s="349"/>
      <c r="Q38" s="13"/>
    </row>
    <row r="39" spans="1:17" ht="19.5" customHeight="1" thickBot="1" x14ac:dyDescent="0.35">
      <c r="A39" s="32"/>
      <c r="B39" s="157">
        <f t="shared" si="3"/>
        <v>2026</v>
      </c>
      <c r="C39" s="149">
        <f>C3</f>
        <v>13</v>
      </c>
      <c r="D39" s="158">
        <v>520</v>
      </c>
      <c r="E39" s="159">
        <v>46007</v>
      </c>
      <c r="F39" s="326">
        <v>8.1999999999999993</v>
      </c>
      <c r="G39" s="160">
        <v>68</v>
      </c>
      <c r="H39" s="161" t="s">
        <v>14</v>
      </c>
      <c r="I39" s="161" t="s">
        <v>15</v>
      </c>
      <c r="J39" s="161"/>
      <c r="K39" s="158" t="s">
        <v>16</v>
      </c>
      <c r="L39" s="161"/>
      <c r="M39" s="256"/>
      <c r="N39" s="163"/>
      <c r="O39" s="282"/>
      <c r="P39" s="349"/>
      <c r="Q39" s="13"/>
    </row>
    <row r="40" spans="1:17" ht="19.5" customHeight="1" thickBot="1" x14ac:dyDescent="0.35">
      <c r="A40" s="32"/>
      <c r="B40" s="157">
        <f t="shared" si="3"/>
        <v>2026</v>
      </c>
      <c r="C40" s="149">
        <f>C3</f>
        <v>13</v>
      </c>
      <c r="D40" s="158">
        <v>801</v>
      </c>
      <c r="E40" s="159">
        <v>46008</v>
      </c>
      <c r="F40" s="326">
        <v>7.5</v>
      </c>
      <c r="G40" s="160">
        <v>79</v>
      </c>
      <c r="H40" s="161" t="s">
        <v>14</v>
      </c>
      <c r="I40" s="161" t="s">
        <v>15</v>
      </c>
      <c r="J40" s="161"/>
      <c r="K40" s="158" t="s">
        <v>16</v>
      </c>
      <c r="L40" s="161"/>
      <c r="M40" s="256"/>
      <c r="N40" s="163"/>
      <c r="O40" s="282"/>
      <c r="P40" s="349"/>
      <c r="Q40" s="13"/>
    </row>
    <row r="41" spans="1:17" ht="19.5" customHeight="1" thickBot="1" x14ac:dyDescent="0.35">
      <c r="A41" s="32"/>
      <c r="B41" s="165">
        <f t="shared" si="3"/>
        <v>2026</v>
      </c>
      <c r="C41" s="166">
        <f>C3</f>
        <v>13</v>
      </c>
      <c r="D41" s="167">
        <v>804</v>
      </c>
      <c r="E41" s="168">
        <v>46007</v>
      </c>
      <c r="F41" s="327">
        <v>9.6</v>
      </c>
      <c r="G41" s="169">
        <v>63</v>
      </c>
      <c r="H41" s="170" t="s">
        <v>14</v>
      </c>
      <c r="I41" s="170" t="s">
        <v>15</v>
      </c>
      <c r="J41" s="170"/>
      <c r="K41" s="167" t="s">
        <v>16</v>
      </c>
      <c r="L41" s="170"/>
      <c r="M41" s="257"/>
      <c r="N41" s="172"/>
      <c r="O41" s="283"/>
      <c r="P41" s="349"/>
      <c r="Q41" s="13"/>
    </row>
    <row r="42" spans="1:17" ht="19.5" customHeight="1" x14ac:dyDescent="0.3">
      <c r="A42" s="32"/>
      <c r="B42" s="174">
        <f t="shared" si="3"/>
        <v>2026</v>
      </c>
      <c r="C42" s="175">
        <f>C3</f>
        <v>13</v>
      </c>
      <c r="D42" s="176">
        <v>703</v>
      </c>
      <c r="E42" s="177">
        <v>46007</v>
      </c>
      <c r="F42" s="328">
        <v>10.1</v>
      </c>
      <c r="G42" s="178">
        <v>67</v>
      </c>
      <c r="H42" s="179" t="s">
        <v>14</v>
      </c>
      <c r="I42" s="180" t="s">
        <v>24</v>
      </c>
      <c r="J42" s="180">
        <v>1</v>
      </c>
      <c r="K42" s="176" t="s">
        <v>16</v>
      </c>
      <c r="L42" s="180">
        <v>8</v>
      </c>
      <c r="M42" s="258">
        <v>8</v>
      </c>
      <c r="N42" s="182">
        <v>8</v>
      </c>
      <c r="O42" s="284">
        <v>1</v>
      </c>
      <c r="P42" s="350" t="s">
        <v>34</v>
      </c>
      <c r="Q42" s="13"/>
    </row>
    <row r="43" spans="1:17" ht="19.5" customHeight="1" x14ac:dyDescent="0.3">
      <c r="A43" s="32"/>
      <c r="B43" s="184">
        <f t="shared" si="3"/>
        <v>2026</v>
      </c>
      <c r="C43" s="185">
        <f>C3</f>
        <v>13</v>
      </c>
      <c r="D43" s="186">
        <v>704</v>
      </c>
      <c r="E43" s="187">
        <v>46007</v>
      </c>
      <c r="F43" s="329">
        <v>14.6</v>
      </c>
      <c r="G43" s="188">
        <v>53</v>
      </c>
      <c r="H43" s="179" t="s">
        <v>14</v>
      </c>
      <c r="I43" s="189" t="s">
        <v>15</v>
      </c>
      <c r="J43" s="189"/>
      <c r="K43" s="186" t="s">
        <v>16</v>
      </c>
      <c r="L43" s="189"/>
      <c r="M43" s="259"/>
      <c r="N43" s="191"/>
      <c r="O43" s="285"/>
      <c r="P43" s="351"/>
      <c r="Q43" s="13"/>
    </row>
    <row r="44" spans="1:17" ht="19.5" customHeight="1" x14ac:dyDescent="0.3">
      <c r="A44" s="32"/>
      <c r="B44" s="184">
        <f t="shared" si="3"/>
        <v>2026</v>
      </c>
      <c r="C44" s="185">
        <f>C3</f>
        <v>13</v>
      </c>
      <c r="D44" s="186">
        <v>705</v>
      </c>
      <c r="E44" s="187">
        <v>46007</v>
      </c>
      <c r="F44" s="329">
        <v>4.5</v>
      </c>
      <c r="G44" s="188">
        <v>142</v>
      </c>
      <c r="H44" s="179" t="s">
        <v>14</v>
      </c>
      <c r="I44" s="189" t="s">
        <v>15</v>
      </c>
      <c r="J44" s="189"/>
      <c r="K44" s="186" t="s">
        <v>16</v>
      </c>
      <c r="L44" s="189"/>
      <c r="M44" s="259"/>
      <c r="N44" s="191"/>
      <c r="O44" s="285"/>
      <c r="P44" s="351"/>
      <c r="Q44" s="13"/>
    </row>
    <row r="45" spans="1:17" ht="19.5" customHeight="1" x14ac:dyDescent="0.3">
      <c r="A45" s="32"/>
      <c r="B45" s="184">
        <f t="shared" si="3"/>
        <v>2026</v>
      </c>
      <c r="C45" s="185">
        <f>C3</f>
        <v>13</v>
      </c>
      <c r="D45" s="186">
        <v>706</v>
      </c>
      <c r="E45" s="187">
        <v>46007</v>
      </c>
      <c r="F45" s="329">
        <v>7.5</v>
      </c>
      <c r="G45" s="188">
        <v>73</v>
      </c>
      <c r="H45" s="179" t="s">
        <v>14</v>
      </c>
      <c r="I45" s="189" t="s">
        <v>15</v>
      </c>
      <c r="J45" s="189"/>
      <c r="K45" s="186" t="s">
        <v>16</v>
      </c>
      <c r="L45" s="189"/>
      <c r="M45" s="259"/>
      <c r="N45" s="191"/>
      <c r="O45" s="285"/>
      <c r="P45" s="351"/>
      <c r="Q45" s="13"/>
    </row>
    <row r="46" spans="1:17" ht="19.5" customHeight="1" x14ac:dyDescent="0.3">
      <c r="A46" s="32"/>
      <c r="B46" s="184">
        <f t="shared" si="3"/>
        <v>2026</v>
      </c>
      <c r="C46" s="185">
        <f>C3</f>
        <v>13</v>
      </c>
      <c r="D46" s="186">
        <v>707</v>
      </c>
      <c r="E46" s="187">
        <v>46007</v>
      </c>
      <c r="F46" s="329">
        <v>4</v>
      </c>
      <c r="G46" s="188">
        <v>165</v>
      </c>
      <c r="H46" s="179" t="s">
        <v>14</v>
      </c>
      <c r="I46" s="189" t="s">
        <v>24</v>
      </c>
      <c r="J46" s="189">
        <v>1</v>
      </c>
      <c r="K46" s="186" t="s">
        <v>16</v>
      </c>
      <c r="L46" s="189">
        <v>6</v>
      </c>
      <c r="M46" s="259">
        <v>6</v>
      </c>
      <c r="N46" s="191">
        <v>6</v>
      </c>
      <c r="O46" s="285">
        <v>1</v>
      </c>
      <c r="P46" s="351"/>
      <c r="Q46" s="13"/>
    </row>
    <row r="47" spans="1:17" ht="19.5" customHeight="1" x14ac:dyDescent="0.3">
      <c r="A47" s="32"/>
      <c r="B47" s="184">
        <f t="shared" si="3"/>
        <v>2026</v>
      </c>
      <c r="C47" s="185">
        <f>C3</f>
        <v>13</v>
      </c>
      <c r="D47" s="186">
        <v>711</v>
      </c>
      <c r="E47" s="187">
        <v>46007</v>
      </c>
      <c r="F47" s="329">
        <v>4.5</v>
      </c>
      <c r="G47" s="188">
        <v>200</v>
      </c>
      <c r="H47" s="179" t="s">
        <v>14</v>
      </c>
      <c r="I47" s="189" t="s">
        <v>15</v>
      </c>
      <c r="J47" s="189"/>
      <c r="K47" s="186" t="s">
        <v>16</v>
      </c>
      <c r="L47" s="189"/>
      <c r="M47" s="259"/>
      <c r="N47" s="191"/>
      <c r="O47" s="285"/>
      <c r="P47" s="351"/>
      <c r="Q47" s="13"/>
    </row>
    <row r="48" spans="1:17" ht="19.5" customHeight="1" x14ac:dyDescent="0.3">
      <c r="A48" s="32"/>
      <c r="B48" s="193">
        <f t="shared" si="3"/>
        <v>2026</v>
      </c>
      <c r="C48" s="193">
        <f>C3</f>
        <v>13</v>
      </c>
      <c r="D48" s="194">
        <v>716</v>
      </c>
      <c r="E48" s="195">
        <v>46007</v>
      </c>
      <c r="F48" s="330">
        <v>3.8</v>
      </c>
      <c r="G48" s="196">
        <v>200</v>
      </c>
      <c r="H48" s="197" t="s">
        <v>14</v>
      </c>
      <c r="I48" s="196" t="s">
        <v>15</v>
      </c>
      <c r="J48" s="196"/>
      <c r="K48" s="194" t="s">
        <v>16</v>
      </c>
      <c r="L48" s="260"/>
      <c r="M48" s="261"/>
      <c r="N48" s="199"/>
      <c r="O48" s="286"/>
      <c r="P48" s="351"/>
      <c r="Q48" s="13"/>
    </row>
    <row r="49" spans="1:17" ht="19.5" customHeight="1" thickBot="1" x14ac:dyDescent="0.35">
      <c r="A49" s="32"/>
      <c r="B49" s="184">
        <f t="shared" si="3"/>
        <v>2026</v>
      </c>
      <c r="C49" s="185">
        <f>C3</f>
        <v>13</v>
      </c>
      <c r="D49" s="186">
        <v>723</v>
      </c>
      <c r="E49" s="187">
        <v>46007</v>
      </c>
      <c r="F49" s="329">
        <v>4.4000000000000004</v>
      </c>
      <c r="G49" s="188">
        <v>200</v>
      </c>
      <c r="H49" s="179" t="s">
        <v>14</v>
      </c>
      <c r="I49" s="188" t="s">
        <v>15</v>
      </c>
      <c r="J49" s="189"/>
      <c r="K49" s="179" t="s">
        <v>16</v>
      </c>
      <c r="L49" s="188"/>
      <c r="M49" s="262"/>
      <c r="N49" s="202"/>
      <c r="O49" s="287"/>
      <c r="P49" s="352"/>
      <c r="Q49" s="13"/>
    </row>
    <row r="50" spans="1:17" ht="19.5" customHeight="1" thickBot="1" x14ac:dyDescent="0.35">
      <c r="A50" s="32"/>
      <c r="B50" s="204">
        <v>2026</v>
      </c>
      <c r="C50" s="205">
        <f>C3</f>
        <v>13</v>
      </c>
      <c r="D50" s="206">
        <v>809</v>
      </c>
      <c r="E50" s="207">
        <v>46006</v>
      </c>
      <c r="F50" s="331">
        <v>4</v>
      </c>
      <c r="G50" s="208">
        <v>152</v>
      </c>
      <c r="H50" s="206" t="s">
        <v>14</v>
      </c>
      <c r="I50" s="209" t="s">
        <v>15</v>
      </c>
      <c r="J50" s="209"/>
      <c r="K50" s="206" t="s">
        <v>16</v>
      </c>
      <c r="L50" s="209"/>
      <c r="M50" s="263"/>
      <c r="N50" s="211"/>
      <c r="O50" s="288"/>
      <c r="P50" s="342" t="s">
        <v>28</v>
      </c>
      <c r="Q50" s="13"/>
    </row>
    <row r="51" spans="1:17" ht="19.5" customHeight="1" thickBot="1" x14ac:dyDescent="0.35">
      <c r="A51" s="32"/>
      <c r="B51" s="213">
        <f t="shared" si="3"/>
        <v>2026</v>
      </c>
      <c r="C51" s="214">
        <f>C3</f>
        <v>13</v>
      </c>
      <c r="D51" s="215">
        <v>812</v>
      </c>
      <c r="E51" s="216">
        <v>46006</v>
      </c>
      <c r="F51" s="332">
        <v>4.4000000000000004</v>
      </c>
      <c r="G51" s="217">
        <v>150</v>
      </c>
      <c r="H51" s="215" t="s">
        <v>14</v>
      </c>
      <c r="I51" s="218" t="s">
        <v>15</v>
      </c>
      <c r="J51" s="218"/>
      <c r="K51" s="215" t="s">
        <v>16</v>
      </c>
      <c r="L51" s="218"/>
      <c r="M51" s="264"/>
      <c r="N51" s="220"/>
      <c r="O51" s="289"/>
      <c r="P51" s="342"/>
      <c r="Q51" s="13"/>
    </row>
    <row r="52" spans="1:17" ht="19.5" customHeight="1" thickBot="1" x14ac:dyDescent="0.35">
      <c r="A52" s="32"/>
      <c r="B52" s="222">
        <f t="shared" si="3"/>
        <v>2026</v>
      </c>
      <c r="C52" s="223">
        <f>C3</f>
        <v>13</v>
      </c>
      <c r="D52" s="224">
        <v>815</v>
      </c>
      <c r="E52" s="225">
        <v>46006</v>
      </c>
      <c r="F52" s="333">
        <v>3.5</v>
      </c>
      <c r="G52" s="226">
        <v>141</v>
      </c>
      <c r="H52" s="227" t="s">
        <v>14</v>
      </c>
      <c r="I52" s="228" t="s">
        <v>15</v>
      </c>
      <c r="J52" s="228"/>
      <c r="K52" s="224" t="s">
        <v>16</v>
      </c>
      <c r="L52" s="228"/>
      <c r="M52" s="265"/>
      <c r="N52" s="230"/>
      <c r="O52" s="290"/>
      <c r="P52" s="342"/>
      <c r="Q52" s="13"/>
    </row>
    <row r="53" spans="1:17" ht="19.5" customHeight="1" thickBot="1" x14ac:dyDescent="0.35">
      <c r="A53" s="32"/>
      <c r="B53" s="222">
        <f t="shared" si="3"/>
        <v>2026</v>
      </c>
      <c r="C53" s="223">
        <f>C3</f>
        <v>13</v>
      </c>
      <c r="D53" s="224" t="s">
        <v>21</v>
      </c>
      <c r="E53" s="232">
        <v>46006</v>
      </c>
      <c r="F53" s="334">
        <v>3.8</v>
      </c>
      <c r="G53" s="226">
        <v>135</v>
      </c>
      <c r="H53" s="227" t="s">
        <v>14</v>
      </c>
      <c r="I53" s="228" t="s">
        <v>15</v>
      </c>
      <c r="J53" s="228"/>
      <c r="K53" s="224" t="s">
        <v>16</v>
      </c>
      <c r="L53" s="228"/>
      <c r="M53" s="265"/>
      <c r="N53" s="230"/>
      <c r="O53" s="290"/>
      <c r="P53" s="342"/>
      <c r="Q53" s="13"/>
    </row>
    <row r="54" spans="1:17" ht="19.5" customHeight="1" thickBot="1" x14ac:dyDescent="0.35">
      <c r="A54" s="32"/>
      <c r="B54" s="222">
        <f t="shared" si="3"/>
        <v>2026</v>
      </c>
      <c r="C54" s="223">
        <f>C3</f>
        <v>13</v>
      </c>
      <c r="D54" s="224" t="s">
        <v>22</v>
      </c>
      <c r="E54" s="232">
        <v>46006</v>
      </c>
      <c r="F54" s="334">
        <v>1.8</v>
      </c>
      <c r="G54" s="226">
        <v>200</v>
      </c>
      <c r="H54" s="227" t="s">
        <v>14</v>
      </c>
      <c r="I54" s="228" t="s">
        <v>15</v>
      </c>
      <c r="J54" s="228"/>
      <c r="K54" s="224" t="s">
        <v>16</v>
      </c>
      <c r="L54" s="228"/>
      <c r="M54" s="265"/>
      <c r="N54" s="230"/>
      <c r="O54" s="290"/>
      <c r="P54" s="342"/>
      <c r="Q54" s="13"/>
    </row>
    <row r="55" spans="1:17" ht="19.5" customHeight="1" thickBot="1" x14ac:dyDescent="0.35">
      <c r="A55" s="32"/>
      <c r="B55" s="222">
        <f t="shared" si="3"/>
        <v>2026</v>
      </c>
      <c r="C55" s="223">
        <f>C3</f>
        <v>13</v>
      </c>
      <c r="D55" s="224">
        <v>906</v>
      </c>
      <c r="E55" s="232">
        <v>46006</v>
      </c>
      <c r="F55" s="334">
        <v>7.2</v>
      </c>
      <c r="G55" s="226">
        <v>137</v>
      </c>
      <c r="H55" s="227" t="s">
        <v>14</v>
      </c>
      <c r="I55" s="228" t="s">
        <v>15</v>
      </c>
      <c r="J55" s="228"/>
      <c r="K55" s="224" t="s">
        <v>16</v>
      </c>
      <c r="L55" s="228"/>
      <c r="M55" s="265"/>
      <c r="N55" s="230"/>
      <c r="O55" s="290"/>
      <c r="P55" s="342"/>
      <c r="Q55" s="13"/>
    </row>
    <row r="56" spans="1:17" ht="19.5" customHeight="1" thickBot="1" x14ac:dyDescent="0.35">
      <c r="A56" s="32"/>
      <c r="B56" s="222">
        <f t="shared" si="3"/>
        <v>2026</v>
      </c>
      <c r="C56" s="223">
        <f>C3</f>
        <v>13</v>
      </c>
      <c r="D56" s="224">
        <v>910</v>
      </c>
      <c r="E56" s="232">
        <v>46006</v>
      </c>
      <c r="F56" s="334">
        <v>5.4</v>
      </c>
      <c r="G56" s="226">
        <v>130</v>
      </c>
      <c r="H56" s="227" t="s">
        <v>14</v>
      </c>
      <c r="I56" s="228" t="s">
        <v>15</v>
      </c>
      <c r="J56" s="228"/>
      <c r="K56" s="224" t="s">
        <v>16</v>
      </c>
      <c r="L56" s="228"/>
      <c r="M56" s="265"/>
      <c r="N56" s="230"/>
      <c r="O56" s="290"/>
      <c r="P56" s="342"/>
      <c r="Q56" s="13"/>
    </row>
    <row r="57" spans="1:17" ht="19.5" customHeight="1" thickBot="1" x14ac:dyDescent="0.35">
      <c r="A57" s="32"/>
      <c r="B57" s="222">
        <f t="shared" si="3"/>
        <v>2026</v>
      </c>
      <c r="C57" s="223">
        <f>C3</f>
        <v>13</v>
      </c>
      <c r="D57" s="224">
        <v>912</v>
      </c>
      <c r="E57" s="232">
        <v>46006</v>
      </c>
      <c r="F57" s="334">
        <v>11.7</v>
      </c>
      <c r="G57" s="226">
        <v>56</v>
      </c>
      <c r="H57" s="227" t="s">
        <v>14</v>
      </c>
      <c r="I57" s="228" t="s">
        <v>15</v>
      </c>
      <c r="J57" s="228"/>
      <c r="K57" s="224" t="s">
        <v>16</v>
      </c>
      <c r="L57" s="228"/>
      <c r="M57" s="265"/>
      <c r="N57" s="230"/>
      <c r="O57" s="290"/>
      <c r="P57" s="342"/>
      <c r="Q57" s="13"/>
    </row>
    <row r="58" spans="1:17" ht="19.5" customHeight="1" thickBot="1" x14ac:dyDescent="0.35">
      <c r="A58" s="32"/>
      <c r="B58" s="222">
        <f t="shared" si="3"/>
        <v>2026</v>
      </c>
      <c r="C58" s="223">
        <f>C3</f>
        <v>13</v>
      </c>
      <c r="D58" s="224">
        <v>914</v>
      </c>
      <c r="E58" s="232">
        <v>46006</v>
      </c>
      <c r="F58" s="334">
        <v>2.1</v>
      </c>
      <c r="G58" s="226">
        <v>200</v>
      </c>
      <c r="H58" s="227" t="s">
        <v>14</v>
      </c>
      <c r="I58" s="228" t="s">
        <v>15</v>
      </c>
      <c r="J58" s="228"/>
      <c r="K58" s="224" t="s">
        <v>16</v>
      </c>
      <c r="L58" s="228"/>
      <c r="M58" s="265"/>
      <c r="N58" s="230"/>
      <c r="O58" s="290"/>
      <c r="P58" s="342"/>
      <c r="Q58" s="13"/>
    </row>
    <row r="59" spans="1:17" ht="19.5" customHeight="1" thickBot="1" x14ac:dyDescent="0.35">
      <c r="A59" s="32"/>
      <c r="B59" s="222">
        <f t="shared" si="3"/>
        <v>2026</v>
      </c>
      <c r="C59" s="223">
        <f>C3</f>
        <v>13</v>
      </c>
      <c r="D59" s="224">
        <v>915</v>
      </c>
      <c r="E59" s="232">
        <v>46006</v>
      </c>
      <c r="F59" s="334">
        <v>1.9</v>
      </c>
      <c r="G59" s="226">
        <v>200</v>
      </c>
      <c r="H59" s="227" t="s">
        <v>14</v>
      </c>
      <c r="I59" s="228" t="s">
        <v>15</v>
      </c>
      <c r="J59" s="228"/>
      <c r="K59" s="224" t="s">
        <v>16</v>
      </c>
      <c r="L59" s="228"/>
      <c r="M59" s="265"/>
      <c r="N59" s="230"/>
      <c r="O59" s="290"/>
      <c r="P59" s="342"/>
      <c r="Q59" s="13"/>
    </row>
    <row r="60" spans="1:17" ht="19.5" customHeight="1" thickBot="1" x14ac:dyDescent="0.35">
      <c r="A60" s="32"/>
      <c r="B60" s="222">
        <f t="shared" si="3"/>
        <v>2026</v>
      </c>
      <c r="C60" s="223">
        <f>C3</f>
        <v>13</v>
      </c>
      <c r="D60" s="224">
        <v>918</v>
      </c>
      <c r="E60" s="232">
        <v>46006</v>
      </c>
      <c r="F60" s="334">
        <v>2.1</v>
      </c>
      <c r="G60" s="226">
        <v>200</v>
      </c>
      <c r="H60" s="227" t="s">
        <v>14</v>
      </c>
      <c r="I60" s="228" t="s">
        <v>15</v>
      </c>
      <c r="J60" s="228"/>
      <c r="K60" s="224" t="s">
        <v>16</v>
      </c>
      <c r="L60" s="228"/>
      <c r="M60" s="265"/>
      <c r="N60" s="230"/>
      <c r="O60" s="290"/>
      <c r="P60" s="342"/>
      <c r="Q60" s="13"/>
    </row>
    <row r="61" spans="1:17" ht="19.5" customHeight="1" thickBot="1" x14ac:dyDescent="0.35">
      <c r="A61" s="32"/>
      <c r="B61" s="233">
        <f t="shared" si="3"/>
        <v>2026</v>
      </c>
      <c r="C61" s="234">
        <f>C3</f>
        <v>13</v>
      </c>
      <c r="D61" s="235">
        <v>919</v>
      </c>
      <c r="E61" s="236">
        <v>46006</v>
      </c>
      <c r="F61" s="335">
        <v>3</v>
      </c>
      <c r="G61" s="237">
        <v>165</v>
      </c>
      <c r="H61" s="227" t="s">
        <v>14</v>
      </c>
      <c r="I61" s="238" t="s">
        <v>15</v>
      </c>
      <c r="J61" s="238"/>
      <c r="K61" s="235" t="s">
        <v>16</v>
      </c>
      <c r="L61" s="238"/>
      <c r="M61" s="266"/>
      <c r="N61" s="240"/>
      <c r="O61" s="291"/>
      <c r="P61" s="342"/>
      <c r="Q61" s="13"/>
    </row>
    <row r="62" spans="1:17" ht="19.5" customHeight="1" x14ac:dyDescent="0.3">
      <c r="A62" s="32"/>
      <c r="B62" s="4" t="s">
        <v>18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2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2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2"/>
      <c r="B65" s="7" t="s">
        <v>23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2"/>
      <c r="B66" s="19"/>
      <c r="C66" s="19"/>
      <c r="D66" s="19"/>
      <c r="E66" s="19"/>
      <c r="F66" s="19"/>
      <c r="G66"/>
      <c r="H66"/>
      <c r="I66"/>
      <c r="J66"/>
      <c r="K66"/>
      <c r="L66"/>
      <c r="M66"/>
      <c r="N66"/>
      <c r="O66"/>
      <c r="P66"/>
      <c r="Q66"/>
      <c r="S66" s="24"/>
      <c r="T66" s="24"/>
      <c r="U66" s="25"/>
      <c r="V66" s="24"/>
      <c r="W66" s="24"/>
      <c r="X66" s="23"/>
      <c r="Y66" s="26"/>
      <c r="Z66" s="23"/>
      <c r="AA66" s="26"/>
      <c r="AB66" s="26"/>
      <c r="AC66" s="26"/>
      <c r="AD66" s="24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3"/>
  <sheetViews>
    <sheetView topLeftCell="A56" workbookViewId="0">
      <selection activeCell="H67" sqref="H67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" style="22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1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2"/>
      <c r="B3" s="38">
        <f>'Survey 12'!B3</f>
        <v>2026</v>
      </c>
      <c r="C3" s="38">
        <v>1</v>
      </c>
      <c r="D3" s="38">
        <v>306</v>
      </c>
      <c r="E3" s="39">
        <v>46020</v>
      </c>
      <c r="F3" s="317">
        <v>5.8</v>
      </c>
      <c r="G3" s="40">
        <v>81</v>
      </c>
      <c r="H3" s="38" t="s">
        <v>14</v>
      </c>
      <c r="I3" s="41" t="s">
        <v>15</v>
      </c>
      <c r="J3" s="40"/>
      <c r="K3" s="38" t="s">
        <v>16</v>
      </c>
      <c r="L3" s="40"/>
      <c r="M3" s="242"/>
      <c r="N3" s="43"/>
      <c r="O3" s="267"/>
      <c r="P3" s="343" t="s">
        <v>31</v>
      </c>
      <c r="Q3" s="13"/>
    </row>
    <row r="4" spans="1:17" ht="19.5" customHeight="1" thickBot="1" x14ac:dyDescent="0.35">
      <c r="A4" s="32"/>
      <c r="B4" s="45">
        <f>B3</f>
        <v>2026</v>
      </c>
      <c r="C4" s="46">
        <f>C3</f>
        <v>1</v>
      </c>
      <c r="D4" s="47">
        <v>308</v>
      </c>
      <c r="E4" s="48">
        <v>46020</v>
      </c>
      <c r="F4" s="53">
        <v>5.4</v>
      </c>
      <c r="G4" s="49">
        <v>85</v>
      </c>
      <c r="H4" s="50" t="s">
        <v>14</v>
      </c>
      <c r="I4" s="51" t="s">
        <v>15</v>
      </c>
      <c r="J4" s="49"/>
      <c r="K4" s="47" t="s">
        <v>16</v>
      </c>
      <c r="L4" s="49"/>
      <c r="M4" s="243"/>
      <c r="N4" s="53"/>
      <c r="O4" s="268"/>
      <c r="P4" s="343"/>
      <c r="Q4" s="13"/>
    </row>
    <row r="5" spans="1:17" ht="19.5" customHeight="1" thickBot="1" x14ac:dyDescent="0.35">
      <c r="A5" s="32"/>
      <c r="B5" s="45">
        <f t="shared" ref="B5:C15" si="0">B4</f>
        <v>2026</v>
      </c>
      <c r="C5" s="46">
        <f t="shared" si="0"/>
        <v>1</v>
      </c>
      <c r="D5" s="45">
        <v>311</v>
      </c>
      <c r="E5" s="55">
        <v>46020</v>
      </c>
      <c r="F5" s="60">
        <v>6.7</v>
      </c>
      <c r="G5" s="56">
        <v>73</v>
      </c>
      <c r="H5" s="57" t="s">
        <v>14</v>
      </c>
      <c r="I5" s="58" t="s">
        <v>15</v>
      </c>
      <c r="J5" s="56"/>
      <c r="K5" s="45" t="s">
        <v>16</v>
      </c>
      <c r="L5" s="56"/>
      <c r="M5" s="244"/>
      <c r="N5" s="60"/>
      <c r="O5" s="269"/>
      <c r="P5" s="343"/>
      <c r="Q5" s="13"/>
    </row>
    <row r="6" spans="1:17" ht="19.5" customHeight="1" thickBot="1" x14ac:dyDescent="0.35">
      <c r="A6" s="32"/>
      <c r="B6" s="45">
        <f t="shared" si="0"/>
        <v>2026</v>
      </c>
      <c r="C6" s="46">
        <f t="shared" si="0"/>
        <v>1</v>
      </c>
      <c r="D6" s="45">
        <v>315</v>
      </c>
      <c r="E6" s="55">
        <v>46020</v>
      </c>
      <c r="F6" s="60">
        <v>5.3</v>
      </c>
      <c r="G6" s="56">
        <v>93</v>
      </c>
      <c r="H6" s="57" t="s">
        <v>14</v>
      </c>
      <c r="I6" s="58" t="s">
        <v>15</v>
      </c>
      <c r="J6" s="56"/>
      <c r="K6" s="45" t="s">
        <v>16</v>
      </c>
      <c r="L6" s="56"/>
      <c r="M6" s="244"/>
      <c r="N6" s="60"/>
      <c r="O6" s="269"/>
      <c r="P6" s="343"/>
      <c r="Q6" s="13"/>
    </row>
    <row r="7" spans="1:17" ht="19.5" customHeight="1" thickBot="1" x14ac:dyDescent="0.35">
      <c r="A7" s="32"/>
      <c r="B7" s="45">
        <f t="shared" si="0"/>
        <v>2026</v>
      </c>
      <c r="C7" s="46">
        <f t="shared" si="0"/>
        <v>1</v>
      </c>
      <c r="D7" s="45">
        <v>322</v>
      </c>
      <c r="E7" s="55">
        <v>46020</v>
      </c>
      <c r="F7" s="60">
        <v>6.6</v>
      </c>
      <c r="G7" s="56">
        <v>80</v>
      </c>
      <c r="H7" s="57" t="s">
        <v>14</v>
      </c>
      <c r="I7" s="58" t="s">
        <v>15</v>
      </c>
      <c r="J7" s="56"/>
      <c r="K7" s="45" t="s">
        <v>16</v>
      </c>
      <c r="L7" s="56"/>
      <c r="M7" s="244"/>
      <c r="N7" s="60"/>
      <c r="O7" s="269"/>
      <c r="P7" s="343"/>
      <c r="Q7" s="13"/>
    </row>
    <row r="8" spans="1:17" ht="19.5" customHeight="1" thickBot="1" x14ac:dyDescent="0.35">
      <c r="A8" s="32"/>
      <c r="B8" s="45">
        <f t="shared" si="0"/>
        <v>2026</v>
      </c>
      <c r="C8" s="46">
        <f t="shared" si="0"/>
        <v>1</v>
      </c>
      <c r="D8" s="45">
        <v>323</v>
      </c>
      <c r="E8" s="55">
        <v>46020</v>
      </c>
      <c r="F8" s="60">
        <v>23.2</v>
      </c>
      <c r="G8" s="56">
        <v>44</v>
      </c>
      <c r="H8" s="57" t="s">
        <v>14</v>
      </c>
      <c r="I8" s="58" t="s">
        <v>15</v>
      </c>
      <c r="J8" s="56"/>
      <c r="K8" s="45" t="s">
        <v>16</v>
      </c>
      <c r="L8" s="56"/>
      <c r="M8" s="244"/>
      <c r="N8" s="60"/>
      <c r="O8" s="269"/>
      <c r="P8" s="343"/>
      <c r="Q8" s="13"/>
    </row>
    <row r="9" spans="1:17" ht="19.5" customHeight="1" thickBot="1" x14ac:dyDescent="0.35">
      <c r="A9" s="32"/>
      <c r="B9" s="45">
        <f t="shared" si="0"/>
        <v>2026</v>
      </c>
      <c r="C9" s="46">
        <f t="shared" si="0"/>
        <v>1</v>
      </c>
      <c r="D9" s="45">
        <v>327</v>
      </c>
      <c r="E9" s="55">
        <v>46020</v>
      </c>
      <c r="F9" s="60">
        <v>9.1999999999999993</v>
      </c>
      <c r="G9" s="56">
        <v>68</v>
      </c>
      <c r="H9" s="57" t="s">
        <v>14</v>
      </c>
      <c r="I9" s="58" t="s">
        <v>15</v>
      </c>
      <c r="J9" s="56"/>
      <c r="K9" s="45" t="s">
        <v>16</v>
      </c>
      <c r="L9" s="56"/>
      <c r="M9" s="244"/>
      <c r="N9" s="60"/>
      <c r="O9" s="269"/>
      <c r="P9" s="343"/>
      <c r="Q9" s="13"/>
    </row>
    <row r="10" spans="1:17" ht="19.5" customHeight="1" thickBot="1" x14ac:dyDescent="0.35">
      <c r="A10" s="32"/>
      <c r="B10" s="45">
        <f t="shared" si="0"/>
        <v>2026</v>
      </c>
      <c r="C10" s="46">
        <f t="shared" si="0"/>
        <v>1</v>
      </c>
      <c r="D10" s="45">
        <v>328</v>
      </c>
      <c r="E10" s="55">
        <v>46020</v>
      </c>
      <c r="F10" s="60">
        <v>11</v>
      </c>
      <c r="G10" s="56">
        <v>73</v>
      </c>
      <c r="H10" s="57" t="s">
        <v>14</v>
      </c>
      <c r="I10" s="58" t="s">
        <v>15</v>
      </c>
      <c r="J10" s="56"/>
      <c r="K10" s="45" t="s">
        <v>16</v>
      </c>
      <c r="L10" s="56"/>
      <c r="M10" s="244"/>
      <c r="N10" s="60"/>
      <c r="O10" s="269"/>
      <c r="P10" s="343"/>
      <c r="Q10" s="13"/>
    </row>
    <row r="11" spans="1:17" ht="19.5" customHeight="1" thickBot="1" x14ac:dyDescent="0.35">
      <c r="A11" s="32"/>
      <c r="B11" s="45">
        <f t="shared" si="0"/>
        <v>2026</v>
      </c>
      <c r="C11" s="46">
        <f t="shared" si="0"/>
        <v>1</v>
      </c>
      <c r="D11" s="45">
        <v>329</v>
      </c>
      <c r="E11" s="55">
        <v>46020</v>
      </c>
      <c r="F11" s="60">
        <v>12.8</v>
      </c>
      <c r="G11" s="56">
        <v>48</v>
      </c>
      <c r="H11" s="57" t="s">
        <v>14</v>
      </c>
      <c r="I11" s="58" t="s">
        <v>24</v>
      </c>
      <c r="J11" s="56">
        <v>2</v>
      </c>
      <c r="K11" s="45" t="s">
        <v>16</v>
      </c>
      <c r="L11" s="56">
        <v>7</v>
      </c>
      <c r="M11" s="244">
        <v>7</v>
      </c>
      <c r="N11" s="60">
        <v>7</v>
      </c>
      <c r="O11" s="269">
        <v>2</v>
      </c>
      <c r="P11" s="343"/>
      <c r="Q11" s="13"/>
    </row>
    <row r="12" spans="1:17" ht="19.5" customHeight="1" thickBot="1" x14ac:dyDescent="0.35">
      <c r="A12" s="32"/>
      <c r="B12" s="45">
        <f t="shared" si="0"/>
        <v>2026</v>
      </c>
      <c r="C12" s="46">
        <f t="shared" si="0"/>
        <v>1</v>
      </c>
      <c r="D12" s="45">
        <v>330</v>
      </c>
      <c r="E12" s="55">
        <v>46020</v>
      </c>
      <c r="F12" s="60">
        <v>21.9</v>
      </c>
      <c r="G12" s="56">
        <v>43</v>
      </c>
      <c r="H12" s="57" t="s">
        <v>14</v>
      </c>
      <c r="I12" s="58" t="s">
        <v>15</v>
      </c>
      <c r="J12" s="56"/>
      <c r="K12" s="45" t="s">
        <v>16</v>
      </c>
      <c r="L12" s="56"/>
      <c r="M12" s="244"/>
      <c r="N12" s="60"/>
      <c r="O12" s="269"/>
      <c r="P12" s="343"/>
      <c r="Q12" s="13"/>
    </row>
    <row r="13" spans="1:17" ht="19.5" customHeight="1" thickBot="1" x14ac:dyDescent="0.35">
      <c r="A13" s="32"/>
      <c r="B13" s="45">
        <f t="shared" si="0"/>
        <v>2026</v>
      </c>
      <c r="C13" s="46">
        <f t="shared" si="0"/>
        <v>1</v>
      </c>
      <c r="D13" s="45">
        <v>335</v>
      </c>
      <c r="E13" s="55">
        <v>46020</v>
      </c>
      <c r="F13" s="60">
        <v>12.9</v>
      </c>
      <c r="G13" s="56">
        <v>44</v>
      </c>
      <c r="H13" s="57" t="s">
        <v>14</v>
      </c>
      <c r="I13" s="58" t="s">
        <v>24</v>
      </c>
      <c r="J13" s="56">
        <v>3</v>
      </c>
      <c r="K13" s="45" t="s">
        <v>16</v>
      </c>
      <c r="L13" s="56">
        <v>7</v>
      </c>
      <c r="M13" s="244">
        <v>8</v>
      </c>
      <c r="N13" s="60">
        <v>7.3333333333333304</v>
      </c>
      <c r="O13" s="269">
        <v>2</v>
      </c>
      <c r="P13" s="343"/>
      <c r="Q13" s="13"/>
    </row>
    <row r="14" spans="1:17" ht="19.5" customHeight="1" thickBot="1" x14ac:dyDescent="0.35">
      <c r="A14" s="32"/>
      <c r="B14" s="45">
        <f t="shared" si="0"/>
        <v>2026</v>
      </c>
      <c r="C14" s="46">
        <f t="shared" si="0"/>
        <v>1</v>
      </c>
      <c r="D14" s="45">
        <v>336</v>
      </c>
      <c r="E14" s="55">
        <v>46020</v>
      </c>
      <c r="F14" s="60">
        <v>11.6</v>
      </c>
      <c r="G14" s="56">
        <v>67</v>
      </c>
      <c r="H14" s="57" t="s">
        <v>14</v>
      </c>
      <c r="I14" s="58" t="s">
        <v>24</v>
      </c>
      <c r="J14" s="56">
        <v>1</v>
      </c>
      <c r="K14" s="45" t="s">
        <v>16</v>
      </c>
      <c r="L14" s="56">
        <v>7</v>
      </c>
      <c r="M14" s="244">
        <v>7</v>
      </c>
      <c r="N14" s="60">
        <v>7</v>
      </c>
      <c r="O14" s="269">
        <v>1</v>
      </c>
      <c r="P14" s="343"/>
      <c r="Q14" s="13"/>
    </row>
    <row r="15" spans="1:17" ht="19.5" customHeight="1" thickBot="1" x14ac:dyDescent="0.35">
      <c r="A15" s="32"/>
      <c r="B15" s="62">
        <f>B14</f>
        <v>2026</v>
      </c>
      <c r="C15" s="46">
        <f t="shared" si="0"/>
        <v>1</v>
      </c>
      <c r="D15" s="62">
        <v>338</v>
      </c>
      <c r="E15" s="63">
        <v>46021</v>
      </c>
      <c r="F15" s="67">
        <v>12</v>
      </c>
      <c r="G15" s="64">
        <v>57</v>
      </c>
      <c r="H15" s="57" t="s">
        <v>14</v>
      </c>
      <c r="I15" s="65" t="s">
        <v>15</v>
      </c>
      <c r="J15" s="64"/>
      <c r="K15" s="62" t="s">
        <v>16</v>
      </c>
      <c r="L15" s="64"/>
      <c r="M15" s="245"/>
      <c r="N15" s="67"/>
      <c r="O15" s="270"/>
      <c r="P15" s="343"/>
      <c r="Q15" s="13"/>
    </row>
    <row r="16" spans="1:17" ht="19.5" customHeight="1" x14ac:dyDescent="0.3">
      <c r="A16" s="32"/>
      <c r="B16" s="69">
        <f>B15</f>
        <v>2026</v>
      </c>
      <c r="C16" s="70">
        <f>C3</f>
        <v>1</v>
      </c>
      <c r="D16" s="69">
        <v>340</v>
      </c>
      <c r="E16" s="71">
        <v>46021</v>
      </c>
      <c r="F16" s="318">
        <v>21.9</v>
      </c>
      <c r="G16" s="72">
        <v>54</v>
      </c>
      <c r="H16" s="69" t="s">
        <v>14</v>
      </c>
      <c r="I16" s="73" t="s">
        <v>24</v>
      </c>
      <c r="J16" s="73">
        <v>4</v>
      </c>
      <c r="K16" s="69" t="s">
        <v>16</v>
      </c>
      <c r="L16" s="73">
        <v>5</v>
      </c>
      <c r="M16" s="246">
        <v>7</v>
      </c>
      <c r="N16" s="75">
        <v>6.5</v>
      </c>
      <c r="O16" s="271">
        <v>4</v>
      </c>
      <c r="P16" s="344" t="s">
        <v>12</v>
      </c>
      <c r="Q16" s="13"/>
    </row>
    <row r="17" spans="1:17" ht="19.5" customHeight="1" x14ac:dyDescent="0.3">
      <c r="A17" s="32"/>
      <c r="B17" s="77">
        <f>B16</f>
        <v>2026</v>
      </c>
      <c r="C17" s="77">
        <f>C3</f>
        <v>1</v>
      </c>
      <c r="D17" s="78">
        <v>342</v>
      </c>
      <c r="E17" s="79">
        <v>46021</v>
      </c>
      <c r="F17" s="319">
        <v>12.3</v>
      </c>
      <c r="G17" s="80">
        <v>50</v>
      </c>
      <c r="H17" s="78" t="s">
        <v>14</v>
      </c>
      <c r="I17" s="81" t="s">
        <v>24</v>
      </c>
      <c r="J17" s="81">
        <v>3</v>
      </c>
      <c r="K17" s="78" t="s">
        <v>16</v>
      </c>
      <c r="L17" s="81">
        <v>7</v>
      </c>
      <c r="M17" s="247">
        <v>7</v>
      </c>
      <c r="N17" s="83">
        <v>7</v>
      </c>
      <c r="O17" s="272">
        <v>0</v>
      </c>
      <c r="P17" s="345"/>
      <c r="Q17" s="13"/>
    </row>
    <row r="18" spans="1:17" ht="19.5" customHeight="1" x14ac:dyDescent="0.3">
      <c r="A18" s="32"/>
      <c r="B18" s="77">
        <f t="shared" ref="B18:B19" si="1">B17</f>
        <v>2026</v>
      </c>
      <c r="C18" s="77">
        <f>C3</f>
        <v>1</v>
      </c>
      <c r="D18" s="78">
        <v>343</v>
      </c>
      <c r="E18" s="79">
        <v>46021</v>
      </c>
      <c r="F18" s="319">
        <v>38.9</v>
      </c>
      <c r="G18" s="80">
        <v>38</v>
      </c>
      <c r="H18" s="78" t="s">
        <v>14</v>
      </c>
      <c r="I18" s="81" t="s">
        <v>24</v>
      </c>
      <c r="J18" s="81">
        <v>13</v>
      </c>
      <c r="K18" s="78" t="s">
        <v>16</v>
      </c>
      <c r="L18" s="81">
        <v>7</v>
      </c>
      <c r="M18" s="247">
        <v>8</v>
      </c>
      <c r="N18" s="83">
        <v>7.1538461538461497</v>
      </c>
      <c r="O18" s="272">
        <v>11</v>
      </c>
      <c r="P18" s="345"/>
      <c r="Q18" s="13"/>
    </row>
    <row r="19" spans="1:17" ht="19.5" customHeight="1" x14ac:dyDescent="0.3">
      <c r="A19" s="32"/>
      <c r="B19" s="77">
        <f t="shared" si="1"/>
        <v>2026</v>
      </c>
      <c r="C19" s="77">
        <f>C4</f>
        <v>1</v>
      </c>
      <c r="D19" s="78">
        <v>344</v>
      </c>
      <c r="E19" s="79">
        <v>46021</v>
      </c>
      <c r="F19" s="319">
        <v>27.5</v>
      </c>
      <c r="G19" s="80">
        <v>37</v>
      </c>
      <c r="H19" s="78" t="s">
        <v>14</v>
      </c>
      <c r="I19" s="81" t="s">
        <v>24</v>
      </c>
      <c r="J19" s="81">
        <v>2</v>
      </c>
      <c r="K19" s="78" t="s">
        <v>16</v>
      </c>
      <c r="L19" s="81">
        <v>8</v>
      </c>
      <c r="M19" s="247">
        <v>9</v>
      </c>
      <c r="N19" s="83">
        <v>8.5</v>
      </c>
      <c r="O19" s="272">
        <v>0</v>
      </c>
      <c r="P19" s="345"/>
      <c r="Q19" s="13"/>
    </row>
    <row r="20" spans="1:17" ht="19.5" customHeight="1" x14ac:dyDescent="0.3">
      <c r="A20" s="32"/>
      <c r="B20" s="77">
        <f>B19</f>
        <v>2026</v>
      </c>
      <c r="C20" s="77">
        <f>C5</f>
        <v>1</v>
      </c>
      <c r="D20" s="78">
        <v>345</v>
      </c>
      <c r="E20" s="79">
        <v>46021</v>
      </c>
      <c r="F20" s="319">
        <v>28.4</v>
      </c>
      <c r="G20" s="80">
        <v>34</v>
      </c>
      <c r="H20" s="78" t="s">
        <v>14</v>
      </c>
      <c r="I20" s="81" t="s">
        <v>15</v>
      </c>
      <c r="J20" s="81"/>
      <c r="K20" s="78" t="s">
        <v>16</v>
      </c>
      <c r="L20" s="81"/>
      <c r="M20" s="247"/>
      <c r="N20" s="83"/>
      <c r="O20" s="272"/>
      <c r="P20" s="345"/>
      <c r="Q20" s="13"/>
    </row>
    <row r="21" spans="1:17" ht="19.5" customHeight="1" x14ac:dyDescent="0.3">
      <c r="A21" s="32"/>
      <c r="B21" s="85">
        <f>B20</f>
        <v>2026</v>
      </c>
      <c r="C21" s="85">
        <f>C6</f>
        <v>1</v>
      </c>
      <c r="D21" s="86">
        <v>346</v>
      </c>
      <c r="E21" s="79">
        <v>46021</v>
      </c>
      <c r="F21" s="319">
        <v>21.9</v>
      </c>
      <c r="G21" s="80">
        <v>41</v>
      </c>
      <c r="H21" s="78" t="s">
        <v>14</v>
      </c>
      <c r="I21" s="81" t="s">
        <v>15</v>
      </c>
      <c r="J21" s="81"/>
      <c r="K21" s="78" t="s">
        <v>16</v>
      </c>
      <c r="L21" s="81"/>
      <c r="M21" s="247"/>
      <c r="N21" s="83"/>
      <c r="O21" s="272"/>
      <c r="P21" s="345"/>
      <c r="Q21" s="13"/>
    </row>
    <row r="22" spans="1:17" ht="19.5" customHeight="1" x14ac:dyDescent="0.3">
      <c r="A22" s="32"/>
      <c r="B22" s="87">
        <f t="shared" ref="B22" si="2">B21</f>
        <v>2026</v>
      </c>
      <c r="C22" s="77">
        <f>C7</f>
        <v>1</v>
      </c>
      <c r="D22" s="78">
        <v>347</v>
      </c>
      <c r="E22" s="88">
        <v>46021</v>
      </c>
      <c r="F22" s="320">
        <v>19.899999999999999</v>
      </c>
      <c r="G22" s="80">
        <v>45</v>
      </c>
      <c r="H22" s="78" t="s">
        <v>14</v>
      </c>
      <c r="I22" s="81" t="s">
        <v>15</v>
      </c>
      <c r="J22" s="81"/>
      <c r="K22" s="78" t="s">
        <v>16</v>
      </c>
      <c r="L22" s="81"/>
      <c r="M22" s="247"/>
      <c r="N22" s="83"/>
      <c r="O22" s="272"/>
      <c r="P22" s="345"/>
      <c r="Q22" s="13"/>
    </row>
    <row r="23" spans="1:17" ht="19.5" customHeight="1" x14ac:dyDescent="0.3">
      <c r="A23" s="32"/>
      <c r="B23" s="77">
        <f>B22</f>
        <v>2026</v>
      </c>
      <c r="C23" s="89">
        <f>C5</f>
        <v>1</v>
      </c>
      <c r="D23" s="90">
        <v>348</v>
      </c>
      <c r="E23" s="79">
        <v>46021</v>
      </c>
      <c r="F23" s="319">
        <v>11</v>
      </c>
      <c r="G23" s="80">
        <v>62</v>
      </c>
      <c r="H23" s="78" t="s">
        <v>14</v>
      </c>
      <c r="I23" s="81" t="s">
        <v>15</v>
      </c>
      <c r="J23" s="81"/>
      <c r="K23" s="78" t="s">
        <v>16</v>
      </c>
      <c r="L23" s="81"/>
      <c r="M23" s="247"/>
      <c r="N23" s="91"/>
      <c r="O23" s="273"/>
      <c r="P23" s="345"/>
      <c r="Q23" s="13"/>
    </row>
    <row r="24" spans="1:17" ht="19.5" customHeight="1" thickBot="1" x14ac:dyDescent="0.35">
      <c r="A24" s="32"/>
      <c r="B24" s="93">
        <f>B23</f>
        <v>2026</v>
      </c>
      <c r="C24" s="85">
        <f>C6</f>
        <v>1</v>
      </c>
      <c r="D24" s="94">
        <v>349</v>
      </c>
      <c r="E24" s="95">
        <v>46021</v>
      </c>
      <c r="F24" s="321">
        <v>8.6</v>
      </c>
      <c r="G24" s="96">
        <v>84</v>
      </c>
      <c r="H24" s="94" t="s">
        <v>14</v>
      </c>
      <c r="I24" s="97" t="s">
        <v>15</v>
      </c>
      <c r="J24" s="97"/>
      <c r="K24" s="94" t="s">
        <v>16</v>
      </c>
      <c r="L24" s="97"/>
      <c r="M24" s="248"/>
      <c r="N24" s="99"/>
      <c r="O24" s="274"/>
      <c r="P24" s="346"/>
      <c r="Q24" s="13"/>
    </row>
    <row r="25" spans="1:17" ht="19.5" customHeight="1" thickBot="1" x14ac:dyDescent="0.35">
      <c r="A25" s="32"/>
      <c r="B25" s="101">
        <f>B24</f>
        <v>2026</v>
      </c>
      <c r="C25" s="102">
        <f>C3</f>
        <v>1</v>
      </c>
      <c r="D25" s="101">
        <v>401</v>
      </c>
      <c r="E25" s="103">
        <v>46021</v>
      </c>
      <c r="F25" s="322">
        <v>19.3</v>
      </c>
      <c r="G25" s="104">
        <v>46</v>
      </c>
      <c r="H25" s="101" t="s">
        <v>14</v>
      </c>
      <c r="I25" s="105" t="s">
        <v>24</v>
      </c>
      <c r="J25" s="105">
        <v>8</v>
      </c>
      <c r="K25" s="101" t="s">
        <v>16</v>
      </c>
      <c r="L25" s="105">
        <v>6</v>
      </c>
      <c r="M25" s="249">
        <v>8</v>
      </c>
      <c r="N25" s="107">
        <v>7</v>
      </c>
      <c r="O25" s="275">
        <v>6</v>
      </c>
      <c r="P25" s="347" t="s">
        <v>32</v>
      </c>
      <c r="Q25" s="13"/>
    </row>
    <row r="26" spans="1:17" ht="19.5" customHeight="1" thickBot="1" x14ac:dyDescent="0.35">
      <c r="A26" s="32"/>
      <c r="B26" s="101">
        <f t="shared" ref="B26:B61" si="3">B25</f>
        <v>2026</v>
      </c>
      <c r="C26" s="109">
        <f>C3</f>
        <v>1</v>
      </c>
      <c r="D26" s="110">
        <v>404</v>
      </c>
      <c r="E26" s="111">
        <v>46020</v>
      </c>
      <c r="F26" s="322">
        <v>30.2</v>
      </c>
      <c r="G26" s="104">
        <v>33</v>
      </c>
      <c r="H26" s="110" t="s">
        <v>14</v>
      </c>
      <c r="I26" s="112" t="s">
        <v>24</v>
      </c>
      <c r="J26" s="112">
        <v>9</v>
      </c>
      <c r="K26" s="110" t="s">
        <v>16</v>
      </c>
      <c r="L26" s="112">
        <v>7</v>
      </c>
      <c r="M26" s="250">
        <v>8</v>
      </c>
      <c r="N26" s="114">
        <v>7.5555555555555598</v>
      </c>
      <c r="O26" s="276">
        <v>9</v>
      </c>
      <c r="P26" s="347"/>
      <c r="Q26" s="13"/>
    </row>
    <row r="27" spans="1:17" ht="19.5" customHeight="1" thickBot="1" x14ac:dyDescent="0.35">
      <c r="A27" s="32"/>
      <c r="B27" s="116">
        <f t="shared" si="3"/>
        <v>2026</v>
      </c>
      <c r="C27" s="116">
        <f>C3</f>
        <v>1</v>
      </c>
      <c r="D27" s="117">
        <v>405</v>
      </c>
      <c r="E27" s="118">
        <v>46020</v>
      </c>
      <c r="F27" s="121">
        <v>103.1</v>
      </c>
      <c r="G27" s="119">
        <v>19</v>
      </c>
      <c r="H27" s="117" t="s">
        <v>14</v>
      </c>
      <c r="I27" s="119" t="s">
        <v>24</v>
      </c>
      <c r="J27" s="119">
        <v>3</v>
      </c>
      <c r="K27" s="117" t="s">
        <v>16</v>
      </c>
      <c r="L27" s="119">
        <v>7</v>
      </c>
      <c r="M27" s="251">
        <v>8</v>
      </c>
      <c r="N27" s="121">
        <v>7.3333333333333304</v>
      </c>
      <c r="O27" s="277">
        <v>1</v>
      </c>
      <c r="P27" s="347"/>
      <c r="Q27" s="13"/>
    </row>
    <row r="28" spans="1:17" ht="19.5" customHeight="1" thickBot="1" x14ac:dyDescent="0.35">
      <c r="A28" s="32"/>
      <c r="B28" s="123">
        <f t="shared" si="3"/>
        <v>2026</v>
      </c>
      <c r="C28" s="123">
        <f>C3</f>
        <v>1</v>
      </c>
      <c r="D28" s="124">
        <v>411</v>
      </c>
      <c r="E28" s="125">
        <v>46022</v>
      </c>
      <c r="F28" s="128">
        <v>33.200000000000003</v>
      </c>
      <c r="G28" s="126">
        <v>35</v>
      </c>
      <c r="H28" s="124" t="s">
        <v>14</v>
      </c>
      <c r="I28" s="126" t="s">
        <v>24</v>
      </c>
      <c r="J28" s="126">
        <v>28</v>
      </c>
      <c r="K28" s="124" t="s">
        <v>16</v>
      </c>
      <c r="L28" s="126">
        <v>7</v>
      </c>
      <c r="M28" s="252">
        <v>9</v>
      </c>
      <c r="N28" s="128">
        <v>7.4285714285714297</v>
      </c>
      <c r="O28" s="278">
        <v>24</v>
      </c>
      <c r="P28" s="348" t="s">
        <v>33</v>
      </c>
      <c r="Q28" s="13"/>
    </row>
    <row r="29" spans="1:17" ht="19.5" customHeight="1" thickBot="1" x14ac:dyDescent="0.35">
      <c r="A29" s="32"/>
      <c r="B29" s="130">
        <f t="shared" si="3"/>
        <v>2026</v>
      </c>
      <c r="C29" s="130">
        <f>C3</f>
        <v>1</v>
      </c>
      <c r="D29" s="131">
        <v>418</v>
      </c>
      <c r="E29" s="132">
        <v>46022</v>
      </c>
      <c r="F29" s="135">
        <v>20.2</v>
      </c>
      <c r="G29" s="133">
        <v>35</v>
      </c>
      <c r="H29" s="131" t="s">
        <v>14</v>
      </c>
      <c r="I29" s="133" t="s">
        <v>24</v>
      </c>
      <c r="J29" s="133">
        <v>6</v>
      </c>
      <c r="K29" s="131" t="s">
        <v>16</v>
      </c>
      <c r="L29" s="133">
        <v>7</v>
      </c>
      <c r="M29" s="253">
        <v>8</v>
      </c>
      <c r="N29" s="135">
        <v>7.8333333333333304</v>
      </c>
      <c r="O29" s="279">
        <v>6</v>
      </c>
      <c r="P29" s="348"/>
      <c r="Q29" s="13"/>
    </row>
    <row r="30" spans="1:17" ht="19.5" customHeight="1" thickBot="1" x14ac:dyDescent="0.35">
      <c r="A30" s="32"/>
      <c r="B30" s="130">
        <f t="shared" si="3"/>
        <v>2026</v>
      </c>
      <c r="C30" s="130">
        <f>C3</f>
        <v>1</v>
      </c>
      <c r="D30" s="131">
        <v>501</v>
      </c>
      <c r="E30" s="137">
        <v>46022</v>
      </c>
      <c r="F30" s="323">
        <v>39.299999999999997</v>
      </c>
      <c r="G30" s="138">
        <v>20</v>
      </c>
      <c r="H30" s="131" t="s">
        <v>14</v>
      </c>
      <c r="I30" s="133" t="s">
        <v>24</v>
      </c>
      <c r="J30" s="133">
        <v>10</v>
      </c>
      <c r="K30" s="131" t="s">
        <v>16</v>
      </c>
      <c r="L30" s="133">
        <v>6</v>
      </c>
      <c r="M30" s="253">
        <v>8</v>
      </c>
      <c r="N30" s="135">
        <v>6.7777777777777803</v>
      </c>
      <c r="O30" s="279">
        <v>9</v>
      </c>
      <c r="P30" s="348"/>
      <c r="Q30" s="13"/>
    </row>
    <row r="31" spans="1:17" ht="19.5" customHeight="1" thickBot="1" x14ac:dyDescent="0.35">
      <c r="A31" s="32"/>
      <c r="B31" s="130">
        <f t="shared" si="3"/>
        <v>2026</v>
      </c>
      <c r="C31" s="130">
        <f>C3</f>
        <v>1</v>
      </c>
      <c r="D31" s="131">
        <v>504</v>
      </c>
      <c r="E31" s="132">
        <v>46022</v>
      </c>
      <c r="F31" s="135">
        <v>37.6</v>
      </c>
      <c r="G31" s="133">
        <v>35</v>
      </c>
      <c r="H31" s="131" t="s">
        <v>14</v>
      </c>
      <c r="I31" s="133" t="s">
        <v>24</v>
      </c>
      <c r="J31" s="133">
        <v>5</v>
      </c>
      <c r="K31" s="131" t="s">
        <v>16</v>
      </c>
      <c r="L31" s="133">
        <v>6</v>
      </c>
      <c r="M31" s="253">
        <v>6</v>
      </c>
      <c r="N31" s="135">
        <v>6</v>
      </c>
      <c r="O31" s="279">
        <v>4</v>
      </c>
      <c r="P31" s="348"/>
      <c r="Q31" s="13"/>
    </row>
    <row r="32" spans="1:17" ht="19.5" customHeight="1" thickBot="1" x14ac:dyDescent="0.35">
      <c r="A32" s="32"/>
      <c r="B32" s="130">
        <f t="shared" si="3"/>
        <v>2026</v>
      </c>
      <c r="C32" s="130">
        <f>C3</f>
        <v>1</v>
      </c>
      <c r="D32" s="131">
        <v>519</v>
      </c>
      <c r="E32" s="132">
        <v>46021</v>
      </c>
      <c r="F32" s="135">
        <v>62.5</v>
      </c>
      <c r="G32" s="133">
        <v>14</v>
      </c>
      <c r="H32" s="131" t="s">
        <v>14</v>
      </c>
      <c r="I32" s="133" t="s">
        <v>24</v>
      </c>
      <c r="J32" s="133">
        <v>1</v>
      </c>
      <c r="K32" s="131" t="s">
        <v>16</v>
      </c>
      <c r="L32" s="133">
        <v>6</v>
      </c>
      <c r="M32" s="253">
        <v>6</v>
      </c>
      <c r="N32" s="135">
        <v>6</v>
      </c>
      <c r="O32" s="279">
        <v>0</v>
      </c>
      <c r="P32" s="348"/>
      <c r="Q32" s="13"/>
    </row>
    <row r="33" spans="1:17" ht="19.5" customHeight="1" thickBot="1" x14ac:dyDescent="0.35">
      <c r="A33" s="32"/>
      <c r="B33" s="130">
        <f t="shared" si="3"/>
        <v>2026</v>
      </c>
      <c r="C33" s="130">
        <f>C3</f>
        <v>1</v>
      </c>
      <c r="D33" s="131">
        <v>602</v>
      </c>
      <c r="E33" s="137">
        <v>46021</v>
      </c>
      <c r="F33" s="323">
        <v>78.5</v>
      </c>
      <c r="G33" s="138">
        <v>12</v>
      </c>
      <c r="H33" s="131" t="s">
        <v>14</v>
      </c>
      <c r="I33" s="133" t="s">
        <v>24</v>
      </c>
      <c r="J33" s="133">
        <v>2</v>
      </c>
      <c r="K33" s="131" t="s">
        <v>16</v>
      </c>
      <c r="L33" s="133">
        <v>7</v>
      </c>
      <c r="M33" s="253">
        <v>7</v>
      </c>
      <c r="N33" s="135">
        <v>7</v>
      </c>
      <c r="O33" s="279">
        <v>2</v>
      </c>
      <c r="P33" s="348"/>
      <c r="Q33" s="13"/>
    </row>
    <row r="34" spans="1:17" ht="19.5" customHeight="1" thickBot="1" x14ac:dyDescent="0.35">
      <c r="A34" s="32"/>
      <c r="B34" s="130">
        <f t="shared" si="3"/>
        <v>2026</v>
      </c>
      <c r="C34" s="130">
        <f>C3</f>
        <v>1</v>
      </c>
      <c r="D34" s="131">
        <v>606</v>
      </c>
      <c r="E34" s="132">
        <v>46021</v>
      </c>
      <c r="F34" s="135">
        <v>37.1</v>
      </c>
      <c r="G34" s="133">
        <v>20</v>
      </c>
      <c r="H34" s="131" t="s">
        <v>14</v>
      </c>
      <c r="I34" s="133" t="s">
        <v>15</v>
      </c>
      <c r="J34" s="133"/>
      <c r="K34" s="131" t="s">
        <v>16</v>
      </c>
      <c r="L34" s="133"/>
      <c r="M34" s="253"/>
      <c r="N34" s="135"/>
      <c r="O34" s="279"/>
      <c r="P34" s="348"/>
      <c r="Q34" s="13"/>
    </row>
    <row r="35" spans="1:17" ht="19.5" customHeight="1" thickBot="1" x14ac:dyDescent="0.35">
      <c r="A35" s="32"/>
      <c r="B35" s="130">
        <f t="shared" si="3"/>
        <v>2026</v>
      </c>
      <c r="C35" s="130">
        <f>C3</f>
        <v>1</v>
      </c>
      <c r="D35" s="131">
        <v>609</v>
      </c>
      <c r="E35" s="132">
        <v>46021</v>
      </c>
      <c r="F35" s="135">
        <v>35.299999999999997</v>
      </c>
      <c r="G35" s="133">
        <v>23</v>
      </c>
      <c r="H35" s="131" t="s">
        <v>14</v>
      </c>
      <c r="I35" s="133" t="s">
        <v>15</v>
      </c>
      <c r="J35" s="133"/>
      <c r="K35" s="131" t="s">
        <v>16</v>
      </c>
      <c r="L35" s="133"/>
      <c r="M35" s="253"/>
      <c r="N35" s="135"/>
      <c r="O35" s="279"/>
      <c r="P35" s="348"/>
      <c r="Q35" s="13"/>
    </row>
    <row r="36" spans="1:17" ht="19.5" customHeight="1" thickBot="1" x14ac:dyDescent="0.35">
      <c r="A36" s="32"/>
      <c r="B36" s="139">
        <f t="shared" si="3"/>
        <v>2026</v>
      </c>
      <c r="C36" s="140">
        <f>C3</f>
        <v>1</v>
      </c>
      <c r="D36" s="141">
        <v>610</v>
      </c>
      <c r="E36" s="142">
        <v>46021</v>
      </c>
      <c r="F36" s="324">
        <v>41.5</v>
      </c>
      <c r="G36" s="143">
        <v>24</v>
      </c>
      <c r="H36" s="141" t="s">
        <v>14</v>
      </c>
      <c r="I36" s="144" t="s">
        <v>15</v>
      </c>
      <c r="J36" s="144"/>
      <c r="K36" s="141" t="s">
        <v>16</v>
      </c>
      <c r="L36" s="144"/>
      <c r="M36" s="254"/>
      <c r="N36" s="146"/>
      <c r="O36" s="280"/>
      <c r="P36" s="348"/>
      <c r="Q36" s="13"/>
    </row>
    <row r="37" spans="1:17" ht="19.5" customHeight="1" thickBot="1" x14ac:dyDescent="0.35">
      <c r="A37" s="32"/>
      <c r="B37" s="148">
        <f t="shared" si="3"/>
        <v>2026</v>
      </c>
      <c r="C37" s="149">
        <f>C3</f>
        <v>1</v>
      </c>
      <c r="D37" s="150">
        <v>508</v>
      </c>
      <c r="E37" s="151">
        <v>46021</v>
      </c>
      <c r="F37" s="325">
        <v>63.6</v>
      </c>
      <c r="G37" s="152">
        <v>15</v>
      </c>
      <c r="H37" s="153" t="s">
        <v>14</v>
      </c>
      <c r="I37" s="153" t="s">
        <v>15</v>
      </c>
      <c r="J37" s="153"/>
      <c r="K37" s="150" t="s">
        <v>16</v>
      </c>
      <c r="L37" s="153"/>
      <c r="M37" s="255"/>
      <c r="N37" s="155"/>
      <c r="O37" s="281"/>
      <c r="P37" s="349" t="s">
        <v>13</v>
      </c>
      <c r="Q37" s="13"/>
    </row>
    <row r="38" spans="1:17" ht="19.5" customHeight="1" thickBot="1" x14ac:dyDescent="0.35">
      <c r="A38" s="32"/>
      <c r="B38" s="157">
        <f t="shared" si="3"/>
        <v>2026</v>
      </c>
      <c r="C38" s="149">
        <f>C3</f>
        <v>1</v>
      </c>
      <c r="D38" s="158">
        <v>513</v>
      </c>
      <c r="E38" s="159">
        <v>46021</v>
      </c>
      <c r="F38" s="326">
        <v>37.1</v>
      </c>
      <c r="G38" s="160">
        <v>20</v>
      </c>
      <c r="H38" s="161" t="s">
        <v>14</v>
      </c>
      <c r="I38" s="161" t="s">
        <v>24</v>
      </c>
      <c r="J38" s="161">
        <v>3</v>
      </c>
      <c r="K38" s="158" t="s">
        <v>16</v>
      </c>
      <c r="L38" s="161">
        <v>6</v>
      </c>
      <c r="M38" s="256">
        <v>7</v>
      </c>
      <c r="N38" s="163">
        <v>6.3333333333333304</v>
      </c>
      <c r="O38" s="282">
        <v>0</v>
      </c>
      <c r="P38" s="349"/>
      <c r="Q38" s="13"/>
    </row>
    <row r="39" spans="1:17" ht="19.5" customHeight="1" thickBot="1" x14ac:dyDescent="0.35">
      <c r="A39" s="32"/>
      <c r="B39" s="157">
        <f t="shared" si="3"/>
        <v>2026</v>
      </c>
      <c r="C39" s="149">
        <f>C3</f>
        <v>1</v>
      </c>
      <c r="D39" s="158">
        <v>520</v>
      </c>
      <c r="E39" s="159">
        <v>46021</v>
      </c>
      <c r="F39" s="326">
        <v>37.1</v>
      </c>
      <c r="G39" s="160">
        <v>21</v>
      </c>
      <c r="H39" s="161" t="s">
        <v>14</v>
      </c>
      <c r="I39" s="161" t="s">
        <v>24</v>
      </c>
      <c r="J39" s="161">
        <v>3</v>
      </c>
      <c r="K39" s="158" t="s">
        <v>16</v>
      </c>
      <c r="L39" s="161">
        <v>6</v>
      </c>
      <c r="M39" s="256">
        <v>7</v>
      </c>
      <c r="N39" s="163">
        <v>6.6666666666666696</v>
      </c>
      <c r="O39" s="282">
        <v>3</v>
      </c>
      <c r="P39" s="349"/>
      <c r="Q39" s="13"/>
    </row>
    <row r="40" spans="1:17" ht="19.5" customHeight="1" thickBot="1" x14ac:dyDescent="0.35">
      <c r="A40" s="32"/>
      <c r="B40" s="157">
        <f t="shared" si="3"/>
        <v>2026</v>
      </c>
      <c r="C40" s="149">
        <f>C3</f>
        <v>1</v>
      </c>
      <c r="D40" s="158">
        <v>801</v>
      </c>
      <c r="E40" s="159">
        <v>46021</v>
      </c>
      <c r="F40" s="326">
        <v>36.9</v>
      </c>
      <c r="G40" s="160">
        <v>22</v>
      </c>
      <c r="H40" s="161" t="s">
        <v>14</v>
      </c>
      <c r="I40" s="161" t="s">
        <v>24</v>
      </c>
      <c r="J40" s="161">
        <v>3</v>
      </c>
      <c r="K40" s="158" t="s">
        <v>16</v>
      </c>
      <c r="L40" s="161">
        <v>6</v>
      </c>
      <c r="M40" s="256">
        <v>8</v>
      </c>
      <c r="N40" s="163">
        <v>7</v>
      </c>
      <c r="O40" s="282">
        <v>1</v>
      </c>
      <c r="P40" s="349"/>
      <c r="Q40" s="13"/>
    </row>
    <row r="41" spans="1:17" ht="19.5" customHeight="1" thickBot="1" x14ac:dyDescent="0.35">
      <c r="A41" s="32"/>
      <c r="B41" s="165">
        <f t="shared" si="3"/>
        <v>2026</v>
      </c>
      <c r="C41" s="166">
        <f>C3</f>
        <v>1</v>
      </c>
      <c r="D41" s="167">
        <v>804</v>
      </c>
      <c r="E41" s="168">
        <v>46021</v>
      </c>
      <c r="F41" s="327">
        <v>33.1</v>
      </c>
      <c r="G41" s="169">
        <v>23</v>
      </c>
      <c r="H41" s="170" t="s">
        <v>14</v>
      </c>
      <c r="I41" s="170" t="s">
        <v>24</v>
      </c>
      <c r="J41" s="170">
        <v>4</v>
      </c>
      <c r="K41" s="167" t="s">
        <v>16</v>
      </c>
      <c r="L41" s="170">
        <v>5</v>
      </c>
      <c r="M41" s="257">
        <v>6</v>
      </c>
      <c r="N41" s="172">
        <v>5.75</v>
      </c>
      <c r="O41" s="283">
        <v>3</v>
      </c>
      <c r="P41" s="349"/>
      <c r="Q41" s="13"/>
    </row>
    <row r="42" spans="1:17" ht="19.5" customHeight="1" x14ac:dyDescent="0.3">
      <c r="A42" s="32"/>
      <c r="B42" s="174">
        <f t="shared" si="3"/>
        <v>2026</v>
      </c>
      <c r="C42" s="175">
        <f>C3</f>
        <v>1</v>
      </c>
      <c r="D42" s="176">
        <v>703</v>
      </c>
      <c r="E42" s="177">
        <v>46021</v>
      </c>
      <c r="F42" s="328">
        <v>44.2</v>
      </c>
      <c r="G42" s="178">
        <v>20</v>
      </c>
      <c r="H42" s="179" t="s">
        <v>14</v>
      </c>
      <c r="I42" s="180" t="s">
        <v>24</v>
      </c>
      <c r="J42" s="180">
        <v>1</v>
      </c>
      <c r="K42" s="176" t="s">
        <v>16</v>
      </c>
      <c r="L42" s="180">
        <v>8</v>
      </c>
      <c r="M42" s="258">
        <v>8</v>
      </c>
      <c r="N42" s="182">
        <v>8</v>
      </c>
      <c r="O42" s="284">
        <v>0</v>
      </c>
      <c r="P42" s="350" t="s">
        <v>34</v>
      </c>
      <c r="Q42" s="13"/>
    </row>
    <row r="43" spans="1:17" ht="19.5" customHeight="1" x14ac:dyDescent="0.3">
      <c r="A43" s="32"/>
      <c r="B43" s="184">
        <f t="shared" si="3"/>
        <v>2026</v>
      </c>
      <c r="C43" s="185">
        <f>C3</f>
        <v>1</v>
      </c>
      <c r="D43" s="186">
        <v>704</v>
      </c>
      <c r="E43" s="187">
        <v>46021</v>
      </c>
      <c r="F43" s="329">
        <v>56.1</v>
      </c>
      <c r="G43" s="188">
        <v>15</v>
      </c>
      <c r="H43" s="179" t="s">
        <v>14</v>
      </c>
      <c r="I43" s="189" t="s">
        <v>24</v>
      </c>
      <c r="J43" s="189">
        <v>2</v>
      </c>
      <c r="K43" s="186" t="s">
        <v>16</v>
      </c>
      <c r="L43" s="189">
        <v>6</v>
      </c>
      <c r="M43" s="259">
        <v>6</v>
      </c>
      <c r="N43" s="191">
        <v>6</v>
      </c>
      <c r="O43" s="285">
        <v>2</v>
      </c>
      <c r="P43" s="351"/>
      <c r="Q43" s="13"/>
    </row>
    <row r="44" spans="1:17" ht="19.5" customHeight="1" x14ac:dyDescent="0.3">
      <c r="A44" s="32"/>
      <c r="B44" s="184">
        <f t="shared" si="3"/>
        <v>2026</v>
      </c>
      <c r="C44" s="185">
        <f>C3</f>
        <v>1</v>
      </c>
      <c r="D44" s="186">
        <v>705</v>
      </c>
      <c r="E44" s="187">
        <v>46021</v>
      </c>
      <c r="F44" s="329">
        <v>43.3</v>
      </c>
      <c r="G44" s="188">
        <v>18</v>
      </c>
      <c r="H44" s="179" t="s">
        <v>14</v>
      </c>
      <c r="I44" s="189" t="s">
        <v>15</v>
      </c>
      <c r="J44" s="189"/>
      <c r="K44" s="186" t="s">
        <v>16</v>
      </c>
      <c r="L44" s="189"/>
      <c r="M44" s="259"/>
      <c r="N44" s="191"/>
      <c r="O44" s="285"/>
      <c r="P44" s="351"/>
      <c r="Q44" s="13"/>
    </row>
    <row r="45" spans="1:17" ht="19.5" customHeight="1" x14ac:dyDescent="0.3">
      <c r="A45" s="32"/>
      <c r="B45" s="184">
        <f t="shared" si="3"/>
        <v>2026</v>
      </c>
      <c r="C45" s="185">
        <f>C3</f>
        <v>1</v>
      </c>
      <c r="D45" s="186">
        <v>706</v>
      </c>
      <c r="E45" s="187">
        <v>46021</v>
      </c>
      <c r="F45" s="329">
        <v>49.2</v>
      </c>
      <c r="G45" s="188">
        <v>19</v>
      </c>
      <c r="H45" s="179" t="s">
        <v>14</v>
      </c>
      <c r="I45" s="189" t="s">
        <v>15</v>
      </c>
      <c r="J45" s="189"/>
      <c r="K45" s="186" t="s">
        <v>16</v>
      </c>
      <c r="L45" s="189"/>
      <c r="M45" s="259"/>
      <c r="N45" s="191"/>
      <c r="O45" s="285"/>
      <c r="P45" s="351"/>
      <c r="Q45" s="13"/>
    </row>
    <row r="46" spans="1:17" ht="19.5" customHeight="1" x14ac:dyDescent="0.3">
      <c r="A46" s="32"/>
      <c r="B46" s="184">
        <f t="shared" si="3"/>
        <v>2026</v>
      </c>
      <c r="C46" s="185">
        <f>C3</f>
        <v>1</v>
      </c>
      <c r="D46" s="186">
        <v>707</v>
      </c>
      <c r="E46" s="187">
        <v>46021</v>
      </c>
      <c r="F46" s="329">
        <v>48.6</v>
      </c>
      <c r="G46" s="188">
        <v>23</v>
      </c>
      <c r="H46" s="179" t="s">
        <v>14</v>
      </c>
      <c r="I46" s="189" t="s">
        <v>24</v>
      </c>
      <c r="J46" s="189">
        <v>1</v>
      </c>
      <c r="K46" s="186" t="s">
        <v>16</v>
      </c>
      <c r="L46" s="189">
        <v>6</v>
      </c>
      <c r="M46" s="259">
        <v>6</v>
      </c>
      <c r="N46" s="191">
        <v>6</v>
      </c>
      <c r="O46" s="285">
        <v>0</v>
      </c>
      <c r="P46" s="351"/>
      <c r="Q46" s="13"/>
    </row>
    <row r="47" spans="1:17" ht="19.5" customHeight="1" x14ac:dyDescent="0.3">
      <c r="A47" s="32"/>
      <c r="B47" s="184">
        <f t="shared" si="3"/>
        <v>2026</v>
      </c>
      <c r="C47" s="185">
        <f>C3</f>
        <v>1</v>
      </c>
      <c r="D47" s="186">
        <v>711</v>
      </c>
      <c r="E47" s="187">
        <v>46021</v>
      </c>
      <c r="F47" s="329">
        <v>65.5</v>
      </c>
      <c r="G47" s="188">
        <v>13</v>
      </c>
      <c r="H47" s="179" t="s">
        <v>14</v>
      </c>
      <c r="I47" s="189" t="s">
        <v>15</v>
      </c>
      <c r="J47" s="189"/>
      <c r="K47" s="186" t="s">
        <v>16</v>
      </c>
      <c r="L47" s="189"/>
      <c r="M47" s="259"/>
      <c r="N47" s="191"/>
      <c r="O47" s="285"/>
      <c r="P47" s="351"/>
      <c r="Q47" s="13"/>
    </row>
    <row r="48" spans="1:17" ht="19.5" customHeight="1" x14ac:dyDescent="0.3">
      <c r="A48" s="32"/>
      <c r="B48" s="193">
        <f t="shared" si="3"/>
        <v>2026</v>
      </c>
      <c r="C48" s="193">
        <f>C3</f>
        <v>1</v>
      </c>
      <c r="D48" s="194">
        <v>716</v>
      </c>
      <c r="E48" s="195">
        <v>46021</v>
      </c>
      <c r="F48" s="330">
        <v>48</v>
      </c>
      <c r="G48" s="196">
        <v>17</v>
      </c>
      <c r="H48" s="197" t="s">
        <v>14</v>
      </c>
      <c r="I48" s="196" t="s">
        <v>15</v>
      </c>
      <c r="J48" s="196"/>
      <c r="K48" s="194" t="s">
        <v>16</v>
      </c>
      <c r="L48" s="260"/>
      <c r="M48" s="261"/>
      <c r="N48" s="199"/>
      <c r="O48" s="286"/>
      <c r="P48" s="351"/>
      <c r="Q48" s="13"/>
    </row>
    <row r="49" spans="1:17" ht="19.5" customHeight="1" thickBot="1" x14ac:dyDescent="0.35">
      <c r="A49" s="32"/>
      <c r="B49" s="184">
        <f t="shared" si="3"/>
        <v>2026</v>
      </c>
      <c r="C49" s="185">
        <f>C3</f>
        <v>1</v>
      </c>
      <c r="D49" s="186">
        <v>723</v>
      </c>
      <c r="E49" s="187">
        <v>46021</v>
      </c>
      <c r="F49" s="329">
        <v>59.6</v>
      </c>
      <c r="G49" s="188">
        <v>16</v>
      </c>
      <c r="H49" s="179" t="s">
        <v>14</v>
      </c>
      <c r="I49" s="188" t="s">
        <v>15</v>
      </c>
      <c r="J49" s="189"/>
      <c r="K49" s="179" t="s">
        <v>16</v>
      </c>
      <c r="L49" s="188"/>
      <c r="M49" s="262"/>
      <c r="N49" s="202"/>
      <c r="O49" s="287"/>
      <c r="P49" s="352"/>
      <c r="Q49" s="13"/>
    </row>
    <row r="50" spans="1:17" ht="19.5" customHeight="1" thickBot="1" x14ac:dyDescent="0.35">
      <c r="A50" s="32"/>
      <c r="B50" s="204">
        <v>2026</v>
      </c>
      <c r="C50" s="205">
        <f>C3</f>
        <v>1</v>
      </c>
      <c r="D50" s="206">
        <v>809</v>
      </c>
      <c r="E50" s="207">
        <v>46020</v>
      </c>
      <c r="F50" s="331">
        <v>29.1</v>
      </c>
      <c r="G50" s="208">
        <v>25</v>
      </c>
      <c r="H50" s="206" t="s">
        <v>14</v>
      </c>
      <c r="I50" s="209" t="s">
        <v>15</v>
      </c>
      <c r="J50" s="209"/>
      <c r="K50" s="206" t="s">
        <v>16</v>
      </c>
      <c r="L50" s="209"/>
      <c r="M50" s="263"/>
      <c r="N50" s="211"/>
      <c r="O50" s="288"/>
      <c r="P50" s="342" t="s">
        <v>28</v>
      </c>
      <c r="Q50" s="13"/>
    </row>
    <row r="51" spans="1:17" ht="19.5" customHeight="1" thickBot="1" x14ac:dyDescent="0.35">
      <c r="A51" s="32"/>
      <c r="B51" s="213">
        <f t="shared" si="3"/>
        <v>2026</v>
      </c>
      <c r="C51" s="214">
        <f>C3</f>
        <v>1</v>
      </c>
      <c r="D51" s="215">
        <v>812</v>
      </c>
      <c r="E51" s="216">
        <v>46020</v>
      </c>
      <c r="F51" s="332">
        <v>34.299999999999997</v>
      </c>
      <c r="G51" s="217">
        <v>15</v>
      </c>
      <c r="H51" s="215" t="s">
        <v>14</v>
      </c>
      <c r="I51" s="218" t="s">
        <v>15</v>
      </c>
      <c r="J51" s="218"/>
      <c r="K51" s="215" t="s">
        <v>16</v>
      </c>
      <c r="L51" s="218"/>
      <c r="M51" s="264"/>
      <c r="N51" s="220"/>
      <c r="O51" s="289"/>
      <c r="P51" s="342"/>
      <c r="Q51" s="13"/>
    </row>
    <row r="52" spans="1:17" ht="19.5" customHeight="1" thickBot="1" x14ac:dyDescent="0.35">
      <c r="A52" s="32"/>
      <c r="B52" s="222">
        <f t="shared" si="3"/>
        <v>2026</v>
      </c>
      <c r="C52" s="223">
        <f>C3</f>
        <v>1</v>
      </c>
      <c r="D52" s="224">
        <v>815</v>
      </c>
      <c r="E52" s="225">
        <v>46020</v>
      </c>
      <c r="F52" s="333">
        <v>50.6</v>
      </c>
      <c r="G52" s="226">
        <v>19</v>
      </c>
      <c r="H52" s="227" t="s">
        <v>14</v>
      </c>
      <c r="I52" s="228" t="s">
        <v>15</v>
      </c>
      <c r="J52" s="228"/>
      <c r="K52" s="224" t="s">
        <v>16</v>
      </c>
      <c r="L52" s="228"/>
      <c r="M52" s="265"/>
      <c r="N52" s="230"/>
      <c r="O52" s="290"/>
      <c r="P52" s="342"/>
      <c r="Q52" s="13"/>
    </row>
    <row r="53" spans="1:17" ht="19.5" customHeight="1" thickBot="1" x14ac:dyDescent="0.35">
      <c r="A53" s="32"/>
      <c r="B53" s="222">
        <f t="shared" si="3"/>
        <v>2026</v>
      </c>
      <c r="C53" s="223">
        <f>C3</f>
        <v>1</v>
      </c>
      <c r="D53" s="224" t="s">
        <v>21</v>
      </c>
      <c r="E53" s="232">
        <v>46020</v>
      </c>
      <c r="F53" s="334">
        <v>26.8</v>
      </c>
      <c r="G53" s="226">
        <v>30</v>
      </c>
      <c r="H53" s="227" t="s">
        <v>14</v>
      </c>
      <c r="I53" s="228" t="s">
        <v>15</v>
      </c>
      <c r="J53" s="228"/>
      <c r="K53" s="224" t="s">
        <v>16</v>
      </c>
      <c r="L53" s="228"/>
      <c r="M53" s="265"/>
      <c r="N53" s="230"/>
      <c r="O53" s="290"/>
      <c r="P53" s="342"/>
      <c r="Q53" s="13"/>
    </row>
    <row r="54" spans="1:17" ht="19.5" customHeight="1" thickBot="1" x14ac:dyDescent="0.35">
      <c r="A54" s="32"/>
      <c r="B54" s="222">
        <f t="shared" si="3"/>
        <v>2026</v>
      </c>
      <c r="C54" s="223">
        <f>C3</f>
        <v>1</v>
      </c>
      <c r="D54" s="224">
        <v>902</v>
      </c>
      <c r="E54" s="232">
        <v>46020</v>
      </c>
      <c r="F54" s="334">
        <v>2.7</v>
      </c>
      <c r="G54" s="226">
        <v>200</v>
      </c>
      <c r="H54" s="227" t="s">
        <v>14</v>
      </c>
      <c r="I54" s="228" t="s">
        <v>15</v>
      </c>
      <c r="J54" s="228"/>
      <c r="K54" s="224" t="s">
        <v>16</v>
      </c>
      <c r="L54" s="228"/>
      <c r="M54" s="265"/>
      <c r="N54" s="230"/>
      <c r="O54" s="290"/>
      <c r="P54" s="342"/>
      <c r="Q54" s="13"/>
    </row>
    <row r="55" spans="1:17" ht="19.5" customHeight="1" thickBot="1" x14ac:dyDescent="0.35">
      <c r="A55" s="32"/>
      <c r="B55" s="222">
        <f t="shared" si="3"/>
        <v>2026</v>
      </c>
      <c r="C55" s="223">
        <f>C3</f>
        <v>1</v>
      </c>
      <c r="D55" s="224">
        <v>906</v>
      </c>
      <c r="E55" s="232">
        <v>46020</v>
      </c>
      <c r="F55" s="334">
        <v>10.9</v>
      </c>
      <c r="G55" s="226">
        <v>60</v>
      </c>
      <c r="H55" s="227" t="s">
        <v>14</v>
      </c>
      <c r="I55" s="228" t="s">
        <v>15</v>
      </c>
      <c r="J55" s="228"/>
      <c r="K55" s="224" t="s">
        <v>16</v>
      </c>
      <c r="L55" s="228"/>
      <c r="M55" s="265"/>
      <c r="N55" s="230"/>
      <c r="O55" s="290"/>
      <c r="P55" s="342"/>
      <c r="Q55" s="13"/>
    </row>
    <row r="56" spans="1:17" ht="19.5" customHeight="1" thickBot="1" x14ac:dyDescent="0.35">
      <c r="A56" s="32"/>
      <c r="B56" s="222">
        <f t="shared" si="3"/>
        <v>2026</v>
      </c>
      <c r="C56" s="223">
        <f>C3</f>
        <v>1</v>
      </c>
      <c r="D56" s="224">
        <v>910</v>
      </c>
      <c r="E56" s="232">
        <v>46020</v>
      </c>
      <c r="F56" s="334">
        <v>6.9</v>
      </c>
      <c r="G56" s="226">
        <v>95</v>
      </c>
      <c r="H56" s="227" t="s">
        <v>14</v>
      </c>
      <c r="I56" s="228" t="s">
        <v>15</v>
      </c>
      <c r="J56" s="228"/>
      <c r="K56" s="224" t="s">
        <v>16</v>
      </c>
      <c r="L56" s="228"/>
      <c r="M56" s="265"/>
      <c r="N56" s="230"/>
      <c r="O56" s="290"/>
      <c r="P56" s="342"/>
      <c r="Q56" s="13"/>
    </row>
    <row r="57" spans="1:17" ht="19.5" customHeight="1" thickBot="1" x14ac:dyDescent="0.35">
      <c r="A57" s="32"/>
      <c r="B57" s="222">
        <f t="shared" si="3"/>
        <v>2026</v>
      </c>
      <c r="C57" s="223">
        <f>C3</f>
        <v>1</v>
      </c>
      <c r="D57" s="224">
        <v>912</v>
      </c>
      <c r="E57" s="232">
        <v>46020</v>
      </c>
      <c r="F57" s="334">
        <v>10.9</v>
      </c>
      <c r="G57" s="226">
        <v>78</v>
      </c>
      <c r="H57" s="227" t="s">
        <v>14</v>
      </c>
      <c r="I57" s="228" t="s">
        <v>15</v>
      </c>
      <c r="J57" s="228"/>
      <c r="K57" s="224" t="s">
        <v>16</v>
      </c>
      <c r="L57" s="228"/>
      <c r="M57" s="265"/>
      <c r="N57" s="230"/>
      <c r="O57" s="290"/>
      <c r="P57" s="342"/>
      <c r="Q57" s="13"/>
    </row>
    <row r="58" spans="1:17" ht="19.5" customHeight="1" thickBot="1" x14ac:dyDescent="0.35">
      <c r="A58" s="32"/>
      <c r="B58" s="222">
        <f t="shared" si="3"/>
        <v>2026</v>
      </c>
      <c r="C58" s="223">
        <f>C3</f>
        <v>1</v>
      </c>
      <c r="D58" s="224">
        <v>914</v>
      </c>
      <c r="E58" s="232">
        <v>46020</v>
      </c>
      <c r="F58" s="334">
        <v>2.7</v>
      </c>
      <c r="G58" s="226">
        <v>200</v>
      </c>
      <c r="H58" s="227" t="s">
        <v>14</v>
      </c>
      <c r="I58" s="228" t="s">
        <v>15</v>
      </c>
      <c r="J58" s="228"/>
      <c r="K58" s="224" t="s">
        <v>16</v>
      </c>
      <c r="L58" s="228"/>
      <c r="M58" s="265"/>
      <c r="N58" s="230"/>
      <c r="O58" s="290"/>
      <c r="P58" s="342"/>
      <c r="Q58" s="13"/>
    </row>
    <row r="59" spans="1:17" ht="19.5" customHeight="1" thickBot="1" x14ac:dyDescent="0.35">
      <c r="A59" s="32"/>
      <c r="B59" s="222">
        <f t="shared" si="3"/>
        <v>2026</v>
      </c>
      <c r="C59" s="223">
        <f>C3</f>
        <v>1</v>
      </c>
      <c r="D59" s="224">
        <v>915</v>
      </c>
      <c r="E59" s="232">
        <v>46020</v>
      </c>
      <c r="F59" s="334">
        <v>3.7</v>
      </c>
      <c r="G59" s="226">
        <v>155</v>
      </c>
      <c r="H59" s="227" t="s">
        <v>14</v>
      </c>
      <c r="I59" s="228" t="s">
        <v>15</v>
      </c>
      <c r="J59" s="228"/>
      <c r="K59" s="224" t="s">
        <v>16</v>
      </c>
      <c r="L59" s="228"/>
      <c r="M59" s="265"/>
      <c r="N59" s="230"/>
      <c r="O59" s="290"/>
      <c r="P59" s="342"/>
      <c r="Q59" s="13"/>
    </row>
    <row r="60" spans="1:17" ht="19.5" customHeight="1" thickBot="1" x14ac:dyDescent="0.35">
      <c r="A60" s="32"/>
      <c r="B60" s="292">
        <f t="shared" si="3"/>
        <v>2026</v>
      </c>
      <c r="C60" s="293">
        <f>C3</f>
        <v>1</v>
      </c>
      <c r="D60" s="294">
        <v>918</v>
      </c>
      <c r="E60" s="295"/>
      <c r="F60" s="336"/>
      <c r="G60" s="296"/>
      <c r="H60" s="297" t="s">
        <v>25</v>
      </c>
      <c r="I60" s="298"/>
      <c r="J60" s="298"/>
      <c r="K60" s="294"/>
      <c r="L60" s="298"/>
      <c r="M60" s="299"/>
      <c r="N60" s="300"/>
      <c r="O60" s="301"/>
      <c r="P60" s="342"/>
      <c r="Q60" s="13"/>
    </row>
    <row r="61" spans="1:17" ht="19.5" customHeight="1" thickBot="1" x14ac:dyDescent="0.35">
      <c r="A61" s="32"/>
      <c r="B61" s="233">
        <f t="shared" si="3"/>
        <v>2026</v>
      </c>
      <c r="C61" s="234">
        <f>C3</f>
        <v>1</v>
      </c>
      <c r="D61" s="235">
        <v>919</v>
      </c>
      <c r="E61" s="236">
        <v>46020</v>
      </c>
      <c r="F61" s="335">
        <v>31.1</v>
      </c>
      <c r="G61" s="237">
        <v>24</v>
      </c>
      <c r="H61" s="227" t="s">
        <v>14</v>
      </c>
      <c r="I61" s="238" t="s">
        <v>15</v>
      </c>
      <c r="J61" s="238"/>
      <c r="K61" s="235" t="s">
        <v>16</v>
      </c>
      <c r="L61" s="238"/>
      <c r="M61" s="266"/>
      <c r="N61" s="240"/>
      <c r="O61" s="291"/>
      <c r="P61" s="342"/>
      <c r="Q61" s="13"/>
    </row>
    <row r="62" spans="1:17" ht="19.5" customHeight="1" x14ac:dyDescent="0.3">
      <c r="A62" s="32"/>
      <c r="B62" s="4" t="s">
        <v>18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2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2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2"/>
      <c r="B65" s="7" t="s">
        <v>26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2"/>
      <c r="B66" s="19"/>
      <c r="C66" s="19"/>
      <c r="D66" s="19"/>
      <c r="E66" s="19"/>
      <c r="F66" s="19"/>
      <c r="G66"/>
      <c r="H66"/>
      <c r="I66"/>
      <c r="J66"/>
      <c r="K66"/>
      <c r="L66"/>
      <c r="M66"/>
      <c r="N66"/>
      <c r="O66"/>
      <c r="P66"/>
      <c r="Q66"/>
      <c r="S66" s="24"/>
      <c r="T66" s="24"/>
      <c r="U66" s="25"/>
      <c r="V66" s="24"/>
      <c r="W66" s="24"/>
      <c r="X66" s="23"/>
      <c r="Y66" s="26"/>
      <c r="Z66" s="23"/>
      <c r="AA66" s="26"/>
      <c r="AB66" s="26"/>
      <c r="AC66" s="26"/>
      <c r="AD66" s="24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  <row r="82" spans="7:17" ht="14.4" x14ac:dyDescent="0.3">
      <c r="G82"/>
      <c r="H82"/>
      <c r="I82"/>
      <c r="J82"/>
      <c r="K82"/>
      <c r="L82"/>
      <c r="M82"/>
      <c r="N82"/>
      <c r="O82"/>
      <c r="P82"/>
      <c r="Q82"/>
    </row>
    <row r="83" spans="7:17" ht="14.4" x14ac:dyDescent="0.3">
      <c r="G83"/>
      <c r="H83"/>
      <c r="I83"/>
      <c r="J83"/>
      <c r="K83"/>
      <c r="L83"/>
      <c r="M83"/>
      <c r="N83"/>
      <c r="O83"/>
      <c r="P83"/>
      <c r="Q8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4"/>
  <sheetViews>
    <sheetView topLeftCell="A54" workbookViewId="0">
      <selection activeCell="H66" sqref="H66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" style="22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1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2"/>
      <c r="B3" s="38">
        <f>'Survey 12'!B3</f>
        <v>2026</v>
      </c>
      <c r="C3" s="38">
        <v>2</v>
      </c>
      <c r="D3" s="38">
        <v>306</v>
      </c>
      <c r="E3" s="39">
        <v>46034</v>
      </c>
      <c r="F3" s="317">
        <v>8.8000000000000007</v>
      </c>
      <c r="G3" s="40">
        <v>47</v>
      </c>
      <c r="H3" s="38" t="s">
        <v>14</v>
      </c>
      <c r="I3" s="41" t="s">
        <v>24</v>
      </c>
      <c r="J3" s="40">
        <v>1</v>
      </c>
      <c r="K3" s="38" t="s">
        <v>16</v>
      </c>
      <c r="L3" s="40">
        <v>7</v>
      </c>
      <c r="M3" s="242">
        <v>7</v>
      </c>
      <c r="N3" s="43">
        <v>7</v>
      </c>
      <c r="O3" s="267">
        <v>1</v>
      </c>
      <c r="P3" s="343" t="s">
        <v>31</v>
      </c>
      <c r="Q3" s="13"/>
    </row>
    <row r="4" spans="1:17" ht="19.5" customHeight="1" thickBot="1" x14ac:dyDescent="0.35">
      <c r="A4" s="32"/>
      <c r="B4" s="45">
        <f>B3</f>
        <v>2026</v>
      </c>
      <c r="C4" s="46">
        <f>C3</f>
        <v>2</v>
      </c>
      <c r="D4" s="47">
        <v>308</v>
      </c>
      <c r="E4" s="48">
        <v>46034</v>
      </c>
      <c r="F4" s="53">
        <v>9.6999999999999993</v>
      </c>
      <c r="G4" s="49">
        <v>58</v>
      </c>
      <c r="H4" s="50" t="s">
        <v>14</v>
      </c>
      <c r="I4" s="51" t="s">
        <v>15</v>
      </c>
      <c r="J4" s="49"/>
      <c r="K4" s="47" t="s">
        <v>16</v>
      </c>
      <c r="L4" s="49"/>
      <c r="M4" s="243"/>
      <c r="N4" s="53"/>
      <c r="O4" s="268"/>
      <c r="P4" s="343"/>
      <c r="Q4" s="13"/>
    </row>
    <row r="5" spans="1:17" ht="19.5" customHeight="1" thickBot="1" x14ac:dyDescent="0.35">
      <c r="A5" s="32"/>
      <c r="B5" s="45">
        <f t="shared" ref="B5:C15" si="0">B4</f>
        <v>2026</v>
      </c>
      <c r="C5" s="46">
        <f t="shared" si="0"/>
        <v>2</v>
      </c>
      <c r="D5" s="45">
        <v>311</v>
      </c>
      <c r="E5" s="55">
        <v>46034</v>
      </c>
      <c r="F5" s="60">
        <v>11.7</v>
      </c>
      <c r="G5" s="56">
        <v>42</v>
      </c>
      <c r="H5" s="57" t="s">
        <v>14</v>
      </c>
      <c r="I5" s="58" t="s">
        <v>15</v>
      </c>
      <c r="J5" s="56"/>
      <c r="K5" s="45" t="s">
        <v>16</v>
      </c>
      <c r="L5" s="56"/>
      <c r="M5" s="244"/>
      <c r="N5" s="60"/>
      <c r="O5" s="269"/>
      <c r="P5" s="343"/>
      <c r="Q5" s="13"/>
    </row>
    <row r="6" spans="1:17" ht="19.5" customHeight="1" thickBot="1" x14ac:dyDescent="0.35">
      <c r="A6" s="32"/>
      <c r="B6" s="45">
        <f t="shared" si="0"/>
        <v>2026</v>
      </c>
      <c r="C6" s="46">
        <f t="shared" si="0"/>
        <v>2</v>
      </c>
      <c r="D6" s="45">
        <v>315</v>
      </c>
      <c r="E6" s="55">
        <v>46034</v>
      </c>
      <c r="F6" s="60">
        <v>11.9</v>
      </c>
      <c r="G6" s="56">
        <v>49</v>
      </c>
      <c r="H6" s="57" t="s">
        <v>14</v>
      </c>
      <c r="I6" s="58" t="s">
        <v>15</v>
      </c>
      <c r="J6" s="56"/>
      <c r="K6" s="45" t="s">
        <v>16</v>
      </c>
      <c r="L6" s="56"/>
      <c r="M6" s="244"/>
      <c r="N6" s="60"/>
      <c r="O6" s="269"/>
      <c r="P6" s="343"/>
      <c r="Q6" s="13"/>
    </row>
    <row r="7" spans="1:17" ht="19.5" customHeight="1" thickBot="1" x14ac:dyDescent="0.35">
      <c r="A7" s="32"/>
      <c r="B7" s="45">
        <f t="shared" si="0"/>
        <v>2026</v>
      </c>
      <c r="C7" s="46">
        <f t="shared" si="0"/>
        <v>2</v>
      </c>
      <c r="D7" s="45">
        <v>322</v>
      </c>
      <c r="E7" s="55">
        <v>46034</v>
      </c>
      <c r="F7" s="60">
        <v>10.6</v>
      </c>
      <c r="G7" s="56">
        <v>47</v>
      </c>
      <c r="H7" s="57" t="s">
        <v>14</v>
      </c>
      <c r="I7" s="58" t="s">
        <v>15</v>
      </c>
      <c r="J7" s="56"/>
      <c r="K7" s="45" t="s">
        <v>16</v>
      </c>
      <c r="L7" s="56"/>
      <c r="M7" s="244"/>
      <c r="N7" s="60"/>
      <c r="O7" s="269"/>
      <c r="P7" s="343"/>
      <c r="Q7" s="13"/>
    </row>
    <row r="8" spans="1:17" ht="19.5" customHeight="1" thickBot="1" x14ac:dyDescent="0.35">
      <c r="A8" s="32"/>
      <c r="B8" s="45">
        <f t="shared" si="0"/>
        <v>2026</v>
      </c>
      <c r="C8" s="46">
        <f t="shared" si="0"/>
        <v>2</v>
      </c>
      <c r="D8" s="45">
        <v>323</v>
      </c>
      <c r="E8" s="55">
        <v>46034</v>
      </c>
      <c r="F8" s="60">
        <v>19.399999999999999</v>
      </c>
      <c r="G8" s="56">
        <v>34</v>
      </c>
      <c r="H8" s="57" t="s">
        <v>14</v>
      </c>
      <c r="I8" s="58" t="s">
        <v>24</v>
      </c>
      <c r="J8" s="56">
        <v>9</v>
      </c>
      <c r="K8" s="45" t="s">
        <v>16</v>
      </c>
      <c r="L8" s="56">
        <v>7</v>
      </c>
      <c r="M8" s="244">
        <v>8</v>
      </c>
      <c r="N8" s="60">
        <v>7.3333333333333304</v>
      </c>
      <c r="O8" s="269">
        <v>6</v>
      </c>
      <c r="P8" s="343"/>
      <c r="Q8" s="13"/>
    </row>
    <row r="9" spans="1:17" ht="19.5" customHeight="1" thickBot="1" x14ac:dyDescent="0.35">
      <c r="A9" s="32"/>
      <c r="B9" s="45">
        <f t="shared" si="0"/>
        <v>2026</v>
      </c>
      <c r="C9" s="46">
        <f t="shared" si="0"/>
        <v>2</v>
      </c>
      <c r="D9" s="45">
        <v>327</v>
      </c>
      <c r="E9" s="55">
        <v>46034</v>
      </c>
      <c r="F9" s="60">
        <v>13.6</v>
      </c>
      <c r="G9" s="56">
        <v>44</v>
      </c>
      <c r="H9" s="57" t="s">
        <v>14</v>
      </c>
      <c r="I9" s="58" t="s">
        <v>15</v>
      </c>
      <c r="J9" s="56"/>
      <c r="K9" s="45" t="s">
        <v>16</v>
      </c>
      <c r="L9" s="56"/>
      <c r="M9" s="244"/>
      <c r="N9" s="60"/>
      <c r="O9" s="269"/>
      <c r="P9" s="343"/>
      <c r="Q9" s="13"/>
    </row>
    <row r="10" spans="1:17" ht="19.5" customHeight="1" thickBot="1" x14ac:dyDescent="0.35">
      <c r="A10" s="32"/>
      <c r="B10" s="45">
        <f t="shared" si="0"/>
        <v>2026</v>
      </c>
      <c r="C10" s="46">
        <f t="shared" si="0"/>
        <v>2</v>
      </c>
      <c r="D10" s="45">
        <v>328</v>
      </c>
      <c r="E10" s="55">
        <v>46034</v>
      </c>
      <c r="F10" s="60">
        <v>13.6</v>
      </c>
      <c r="G10" s="56">
        <v>39</v>
      </c>
      <c r="H10" s="57" t="s">
        <v>14</v>
      </c>
      <c r="I10" s="58" t="s">
        <v>24</v>
      </c>
      <c r="J10" s="56">
        <v>7</v>
      </c>
      <c r="K10" s="45" t="s">
        <v>16</v>
      </c>
      <c r="L10" s="56">
        <v>6</v>
      </c>
      <c r="M10" s="244">
        <v>8</v>
      </c>
      <c r="N10" s="60">
        <v>7.1428571428571397</v>
      </c>
      <c r="O10" s="269">
        <v>5</v>
      </c>
      <c r="P10" s="343"/>
      <c r="Q10" s="13"/>
    </row>
    <row r="11" spans="1:17" ht="19.5" customHeight="1" thickBot="1" x14ac:dyDescent="0.35">
      <c r="A11" s="32"/>
      <c r="B11" s="45">
        <f t="shared" si="0"/>
        <v>2026</v>
      </c>
      <c r="C11" s="46">
        <f t="shared" si="0"/>
        <v>2</v>
      </c>
      <c r="D11" s="45">
        <v>329</v>
      </c>
      <c r="E11" s="55">
        <v>46034</v>
      </c>
      <c r="F11" s="60">
        <v>12.2</v>
      </c>
      <c r="G11" s="56">
        <v>48</v>
      </c>
      <c r="H11" s="57" t="s">
        <v>14</v>
      </c>
      <c r="I11" s="58" t="s">
        <v>24</v>
      </c>
      <c r="J11" s="56">
        <v>2</v>
      </c>
      <c r="K11" s="45" t="s">
        <v>16</v>
      </c>
      <c r="L11" s="56">
        <v>8</v>
      </c>
      <c r="M11" s="244">
        <v>8</v>
      </c>
      <c r="N11" s="60">
        <v>8</v>
      </c>
      <c r="O11" s="269">
        <v>0</v>
      </c>
      <c r="P11" s="343"/>
      <c r="Q11" s="13"/>
    </row>
    <row r="12" spans="1:17" ht="19.5" customHeight="1" thickBot="1" x14ac:dyDescent="0.35">
      <c r="A12" s="32"/>
      <c r="B12" s="45">
        <f t="shared" si="0"/>
        <v>2026</v>
      </c>
      <c r="C12" s="46">
        <f t="shared" si="0"/>
        <v>2</v>
      </c>
      <c r="D12" s="45">
        <v>330</v>
      </c>
      <c r="E12" s="55">
        <v>46034</v>
      </c>
      <c r="F12" s="60">
        <v>20.399999999999999</v>
      </c>
      <c r="G12" s="56">
        <v>33</v>
      </c>
      <c r="H12" s="57" t="s">
        <v>14</v>
      </c>
      <c r="I12" s="58" t="s">
        <v>24</v>
      </c>
      <c r="J12" s="56">
        <v>14</v>
      </c>
      <c r="K12" s="45" t="s">
        <v>16</v>
      </c>
      <c r="L12" s="56">
        <v>7</v>
      </c>
      <c r="M12" s="244">
        <v>8</v>
      </c>
      <c r="N12" s="60">
        <v>7.5</v>
      </c>
      <c r="O12" s="269">
        <v>10</v>
      </c>
      <c r="P12" s="343"/>
      <c r="Q12" s="13"/>
    </row>
    <row r="13" spans="1:17" ht="19.5" customHeight="1" thickBot="1" x14ac:dyDescent="0.35">
      <c r="A13" s="32"/>
      <c r="B13" s="45">
        <f t="shared" si="0"/>
        <v>2026</v>
      </c>
      <c r="C13" s="46">
        <f t="shared" si="0"/>
        <v>2</v>
      </c>
      <c r="D13" s="45">
        <v>335</v>
      </c>
      <c r="E13" s="55">
        <v>46034</v>
      </c>
      <c r="F13" s="60">
        <v>14.3</v>
      </c>
      <c r="G13" s="56">
        <v>43</v>
      </c>
      <c r="H13" s="57" t="s">
        <v>14</v>
      </c>
      <c r="I13" s="58" t="s">
        <v>24</v>
      </c>
      <c r="J13" s="56">
        <v>4</v>
      </c>
      <c r="K13" s="45" t="s">
        <v>16</v>
      </c>
      <c r="L13" s="56">
        <v>7</v>
      </c>
      <c r="M13" s="244">
        <v>8</v>
      </c>
      <c r="N13" s="60">
        <v>7.25</v>
      </c>
      <c r="O13" s="269">
        <v>2</v>
      </c>
      <c r="P13" s="343"/>
      <c r="Q13" s="13"/>
    </row>
    <row r="14" spans="1:17" ht="19.5" customHeight="1" thickBot="1" x14ac:dyDescent="0.35">
      <c r="A14" s="32"/>
      <c r="B14" s="45">
        <f t="shared" si="0"/>
        <v>2026</v>
      </c>
      <c r="C14" s="46">
        <f t="shared" si="0"/>
        <v>2</v>
      </c>
      <c r="D14" s="45">
        <v>336</v>
      </c>
      <c r="E14" s="55">
        <v>46034</v>
      </c>
      <c r="F14" s="60">
        <v>13.7</v>
      </c>
      <c r="G14" s="56">
        <v>42</v>
      </c>
      <c r="H14" s="57" t="s">
        <v>14</v>
      </c>
      <c r="I14" s="58" t="s">
        <v>24</v>
      </c>
      <c r="J14" s="56">
        <v>11</v>
      </c>
      <c r="K14" s="45" t="s">
        <v>16</v>
      </c>
      <c r="L14" s="56">
        <v>6</v>
      </c>
      <c r="M14" s="244">
        <v>8</v>
      </c>
      <c r="N14" s="60">
        <v>7.4545454545454497</v>
      </c>
      <c r="O14" s="269">
        <v>11</v>
      </c>
      <c r="P14" s="343"/>
      <c r="Q14" s="13"/>
    </row>
    <row r="15" spans="1:17" ht="19.5" customHeight="1" thickBot="1" x14ac:dyDescent="0.35">
      <c r="A15" s="32"/>
      <c r="B15" s="62">
        <f>B14</f>
        <v>2026</v>
      </c>
      <c r="C15" s="46">
        <f t="shared" si="0"/>
        <v>2</v>
      </c>
      <c r="D15" s="62">
        <v>338</v>
      </c>
      <c r="E15" s="63">
        <v>46035</v>
      </c>
      <c r="F15" s="67">
        <v>12</v>
      </c>
      <c r="G15" s="64">
        <v>47</v>
      </c>
      <c r="H15" s="57" t="s">
        <v>14</v>
      </c>
      <c r="I15" s="65" t="s">
        <v>24</v>
      </c>
      <c r="J15" s="64">
        <v>7</v>
      </c>
      <c r="K15" s="62" t="s">
        <v>16</v>
      </c>
      <c r="L15" s="64">
        <v>6</v>
      </c>
      <c r="M15" s="245">
        <v>8</v>
      </c>
      <c r="N15" s="67">
        <v>7</v>
      </c>
      <c r="O15" s="270">
        <v>6</v>
      </c>
      <c r="P15" s="343"/>
      <c r="Q15" s="13"/>
    </row>
    <row r="16" spans="1:17" ht="19.5" customHeight="1" x14ac:dyDescent="0.3">
      <c r="A16" s="32"/>
      <c r="B16" s="69">
        <f>B15</f>
        <v>2026</v>
      </c>
      <c r="C16" s="70">
        <f>C3</f>
        <v>2</v>
      </c>
      <c r="D16" s="69">
        <v>340</v>
      </c>
      <c r="E16" s="71">
        <v>46035</v>
      </c>
      <c r="F16" s="318">
        <v>15.7</v>
      </c>
      <c r="G16" s="72">
        <v>38</v>
      </c>
      <c r="H16" s="69" t="s">
        <v>14</v>
      </c>
      <c r="I16" s="73" t="s">
        <v>24</v>
      </c>
      <c r="J16" s="73">
        <v>19</v>
      </c>
      <c r="K16" s="69" t="s">
        <v>16</v>
      </c>
      <c r="L16" s="73">
        <v>6</v>
      </c>
      <c r="M16" s="246">
        <v>8</v>
      </c>
      <c r="N16" s="75">
        <v>7.1052631578947398</v>
      </c>
      <c r="O16" s="271">
        <v>14</v>
      </c>
      <c r="P16" s="344" t="s">
        <v>12</v>
      </c>
      <c r="Q16" s="13"/>
    </row>
    <row r="17" spans="1:17" ht="19.5" customHeight="1" x14ac:dyDescent="0.3">
      <c r="A17" s="32"/>
      <c r="B17" s="292">
        <f>B16</f>
        <v>2026</v>
      </c>
      <c r="C17" s="292">
        <f>C3</f>
        <v>2</v>
      </c>
      <c r="D17" s="294">
        <v>342</v>
      </c>
      <c r="E17" s="295"/>
      <c r="F17" s="336"/>
      <c r="G17" s="296"/>
      <c r="H17" s="294" t="s">
        <v>25</v>
      </c>
      <c r="I17" s="298"/>
      <c r="J17" s="298"/>
      <c r="K17" s="294"/>
      <c r="L17" s="298"/>
      <c r="M17" s="299"/>
      <c r="N17" s="300"/>
      <c r="O17" s="301"/>
      <c r="P17" s="345"/>
      <c r="Q17" s="13"/>
    </row>
    <row r="18" spans="1:17" ht="19.5" customHeight="1" x14ac:dyDescent="0.3">
      <c r="A18" s="32"/>
      <c r="B18" s="292">
        <f t="shared" ref="B18:B19" si="1">B17</f>
        <v>2026</v>
      </c>
      <c r="C18" s="292">
        <f>C3</f>
        <v>2</v>
      </c>
      <c r="D18" s="294">
        <v>343</v>
      </c>
      <c r="E18" s="295"/>
      <c r="F18" s="336"/>
      <c r="G18" s="296"/>
      <c r="H18" s="294" t="s">
        <v>25</v>
      </c>
      <c r="I18" s="298"/>
      <c r="J18" s="298"/>
      <c r="K18" s="294"/>
      <c r="L18" s="298"/>
      <c r="M18" s="299"/>
      <c r="N18" s="300"/>
      <c r="O18" s="301"/>
      <c r="P18" s="345"/>
      <c r="Q18" s="13"/>
    </row>
    <row r="19" spans="1:17" ht="19.5" customHeight="1" x14ac:dyDescent="0.3">
      <c r="A19" s="32"/>
      <c r="B19" s="292">
        <f t="shared" si="1"/>
        <v>2026</v>
      </c>
      <c r="C19" s="292">
        <f>C4</f>
        <v>2</v>
      </c>
      <c r="D19" s="294">
        <v>344</v>
      </c>
      <c r="E19" s="295"/>
      <c r="F19" s="336"/>
      <c r="G19" s="296"/>
      <c r="H19" s="294" t="s">
        <v>25</v>
      </c>
      <c r="I19" s="298"/>
      <c r="J19" s="298"/>
      <c r="K19" s="294"/>
      <c r="L19" s="298"/>
      <c r="M19" s="299"/>
      <c r="N19" s="300"/>
      <c r="O19" s="301"/>
      <c r="P19" s="345"/>
      <c r="Q19" s="13"/>
    </row>
    <row r="20" spans="1:17" ht="19.5" customHeight="1" x14ac:dyDescent="0.3">
      <c r="A20" s="32"/>
      <c r="B20" s="292">
        <f>B19</f>
        <v>2026</v>
      </c>
      <c r="C20" s="292">
        <f>C5</f>
        <v>2</v>
      </c>
      <c r="D20" s="294">
        <v>345</v>
      </c>
      <c r="E20" s="295"/>
      <c r="F20" s="336"/>
      <c r="G20" s="296"/>
      <c r="H20" s="294" t="s">
        <v>25</v>
      </c>
      <c r="I20" s="298"/>
      <c r="J20" s="298"/>
      <c r="K20" s="294"/>
      <c r="L20" s="298"/>
      <c r="M20" s="299"/>
      <c r="N20" s="300"/>
      <c r="O20" s="301"/>
      <c r="P20" s="345"/>
      <c r="Q20" s="13"/>
    </row>
    <row r="21" spans="1:17" ht="19.5" customHeight="1" x14ac:dyDescent="0.3">
      <c r="A21" s="32"/>
      <c r="B21" s="302">
        <f>B20</f>
        <v>2026</v>
      </c>
      <c r="C21" s="302">
        <f>C6</f>
        <v>2</v>
      </c>
      <c r="D21" s="303">
        <v>346</v>
      </c>
      <c r="E21" s="295"/>
      <c r="F21" s="336"/>
      <c r="G21" s="296"/>
      <c r="H21" s="294" t="s">
        <v>25</v>
      </c>
      <c r="I21" s="298"/>
      <c r="J21" s="298"/>
      <c r="K21" s="294"/>
      <c r="L21" s="298"/>
      <c r="M21" s="299"/>
      <c r="N21" s="300"/>
      <c r="O21" s="301"/>
      <c r="P21" s="345"/>
      <c r="Q21" s="13"/>
    </row>
    <row r="22" spans="1:17" ht="19.5" customHeight="1" x14ac:dyDescent="0.3">
      <c r="A22" s="32"/>
      <c r="B22" s="304">
        <f t="shared" ref="B22" si="2">B21</f>
        <v>2026</v>
      </c>
      <c r="C22" s="292">
        <f>C7</f>
        <v>2</v>
      </c>
      <c r="D22" s="294">
        <v>347</v>
      </c>
      <c r="E22" s="305"/>
      <c r="F22" s="337"/>
      <c r="G22" s="296"/>
      <c r="H22" s="294" t="s">
        <v>25</v>
      </c>
      <c r="I22" s="298"/>
      <c r="J22" s="298"/>
      <c r="K22" s="294"/>
      <c r="L22" s="298"/>
      <c r="M22" s="299"/>
      <c r="N22" s="300"/>
      <c r="O22" s="301"/>
      <c r="P22" s="345"/>
      <c r="Q22" s="13"/>
    </row>
    <row r="23" spans="1:17" ht="19.5" customHeight="1" x14ac:dyDescent="0.3">
      <c r="A23" s="32"/>
      <c r="B23" s="292">
        <f>B22</f>
        <v>2026</v>
      </c>
      <c r="C23" s="306">
        <f>C5</f>
        <v>2</v>
      </c>
      <c r="D23" s="297">
        <v>348</v>
      </c>
      <c r="E23" s="295"/>
      <c r="F23" s="336"/>
      <c r="G23" s="296"/>
      <c r="H23" s="294" t="s">
        <v>25</v>
      </c>
      <c r="I23" s="298"/>
      <c r="J23" s="298"/>
      <c r="K23" s="294"/>
      <c r="L23" s="298"/>
      <c r="M23" s="299"/>
      <c r="N23" s="307"/>
      <c r="O23" s="308"/>
      <c r="P23" s="345"/>
      <c r="Q23" s="13"/>
    </row>
    <row r="24" spans="1:17" ht="19.5" customHeight="1" thickBot="1" x14ac:dyDescent="0.35">
      <c r="A24" s="32"/>
      <c r="B24" s="309">
        <f>B23</f>
        <v>2026</v>
      </c>
      <c r="C24" s="302">
        <f>C6</f>
        <v>2</v>
      </c>
      <c r="D24" s="310">
        <v>349</v>
      </c>
      <c r="E24" s="311"/>
      <c r="F24" s="338"/>
      <c r="G24" s="312"/>
      <c r="H24" s="310" t="s">
        <v>25</v>
      </c>
      <c r="I24" s="313"/>
      <c r="J24" s="313"/>
      <c r="K24" s="310"/>
      <c r="L24" s="313"/>
      <c r="M24" s="314"/>
      <c r="N24" s="315"/>
      <c r="O24" s="316"/>
      <c r="P24" s="346"/>
      <c r="Q24" s="13"/>
    </row>
    <row r="25" spans="1:17" ht="19.5" customHeight="1" thickBot="1" x14ac:dyDescent="0.35">
      <c r="A25" s="32"/>
      <c r="B25" s="101">
        <f>B24</f>
        <v>2026</v>
      </c>
      <c r="C25" s="102">
        <f>C3</f>
        <v>2</v>
      </c>
      <c r="D25" s="101">
        <v>401</v>
      </c>
      <c r="E25" s="103">
        <v>46035</v>
      </c>
      <c r="F25" s="322">
        <v>20.8</v>
      </c>
      <c r="G25" s="104">
        <v>28</v>
      </c>
      <c r="H25" s="101" t="s">
        <v>14</v>
      </c>
      <c r="I25" s="105" t="s">
        <v>24</v>
      </c>
      <c r="J25" s="105">
        <v>57</v>
      </c>
      <c r="K25" s="101" t="s">
        <v>16</v>
      </c>
      <c r="L25" s="105">
        <v>6</v>
      </c>
      <c r="M25" s="249">
        <v>8</v>
      </c>
      <c r="N25" s="107">
        <v>7.3333333333333304</v>
      </c>
      <c r="O25" s="275">
        <v>47</v>
      </c>
      <c r="P25" s="347" t="s">
        <v>32</v>
      </c>
      <c r="Q25" s="13"/>
    </row>
    <row r="26" spans="1:17" ht="19.5" customHeight="1" thickBot="1" x14ac:dyDescent="0.35">
      <c r="A26" s="32"/>
      <c r="B26" s="101">
        <f t="shared" ref="B26:B61" si="3">B25</f>
        <v>2026</v>
      </c>
      <c r="C26" s="109">
        <f>C3</f>
        <v>2</v>
      </c>
      <c r="D26" s="110">
        <v>404</v>
      </c>
      <c r="E26" s="111">
        <v>46034</v>
      </c>
      <c r="F26" s="322">
        <v>17.899999999999999</v>
      </c>
      <c r="G26" s="104">
        <v>38</v>
      </c>
      <c r="H26" s="110" t="s">
        <v>14</v>
      </c>
      <c r="I26" s="112" t="s">
        <v>24</v>
      </c>
      <c r="J26" s="112">
        <v>17</v>
      </c>
      <c r="K26" s="110" t="s">
        <v>16</v>
      </c>
      <c r="L26" s="112">
        <v>5</v>
      </c>
      <c r="M26" s="250">
        <v>8</v>
      </c>
      <c r="N26" s="114">
        <v>6.9375</v>
      </c>
      <c r="O26" s="276">
        <v>6</v>
      </c>
      <c r="P26" s="347"/>
      <c r="Q26" s="13"/>
    </row>
    <row r="27" spans="1:17" ht="19.5" customHeight="1" thickBot="1" x14ac:dyDescent="0.35">
      <c r="A27" s="32"/>
      <c r="B27" s="116">
        <f t="shared" si="3"/>
        <v>2026</v>
      </c>
      <c r="C27" s="116">
        <f>C3</f>
        <v>2</v>
      </c>
      <c r="D27" s="117">
        <v>405</v>
      </c>
      <c r="E27" s="118">
        <v>46034</v>
      </c>
      <c r="F27" s="121">
        <v>22.1</v>
      </c>
      <c r="G27" s="119">
        <v>35</v>
      </c>
      <c r="H27" s="117" t="s">
        <v>14</v>
      </c>
      <c r="I27" s="119" t="s">
        <v>24</v>
      </c>
      <c r="J27" s="119">
        <v>177</v>
      </c>
      <c r="K27" s="117" t="s">
        <v>16</v>
      </c>
      <c r="L27" s="119">
        <v>5</v>
      </c>
      <c r="M27" s="251">
        <v>9</v>
      </c>
      <c r="N27" s="121">
        <v>7.34</v>
      </c>
      <c r="O27" s="277">
        <v>116</v>
      </c>
      <c r="P27" s="347"/>
      <c r="Q27" s="13"/>
    </row>
    <row r="28" spans="1:17" ht="19.5" customHeight="1" thickBot="1" x14ac:dyDescent="0.35">
      <c r="A28" s="32"/>
      <c r="B28" s="123">
        <f t="shared" si="3"/>
        <v>2026</v>
      </c>
      <c r="C28" s="123">
        <f>C3</f>
        <v>2</v>
      </c>
      <c r="D28" s="124">
        <v>411</v>
      </c>
      <c r="E28" s="125">
        <v>46035</v>
      </c>
      <c r="F28" s="128">
        <v>27.3</v>
      </c>
      <c r="G28" s="126">
        <v>23</v>
      </c>
      <c r="H28" s="124" t="s">
        <v>14</v>
      </c>
      <c r="I28" s="126" t="s">
        <v>24</v>
      </c>
      <c r="J28" s="126">
        <v>36</v>
      </c>
      <c r="K28" s="124" t="s">
        <v>16</v>
      </c>
      <c r="L28" s="126">
        <v>6</v>
      </c>
      <c r="M28" s="252">
        <v>8</v>
      </c>
      <c r="N28" s="128">
        <v>7.5</v>
      </c>
      <c r="O28" s="278">
        <v>17</v>
      </c>
      <c r="P28" s="348" t="s">
        <v>33</v>
      </c>
      <c r="Q28" s="13"/>
    </row>
    <row r="29" spans="1:17" ht="19.5" customHeight="1" thickBot="1" x14ac:dyDescent="0.35">
      <c r="A29" s="32"/>
      <c r="B29" s="130">
        <f t="shared" si="3"/>
        <v>2026</v>
      </c>
      <c r="C29" s="130">
        <f>C3</f>
        <v>2</v>
      </c>
      <c r="D29" s="131">
        <v>418</v>
      </c>
      <c r="E29" s="132">
        <v>46035</v>
      </c>
      <c r="F29" s="135">
        <v>25.6</v>
      </c>
      <c r="G29" s="133">
        <v>25</v>
      </c>
      <c r="H29" s="131" t="s">
        <v>14</v>
      </c>
      <c r="I29" s="133" t="s">
        <v>24</v>
      </c>
      <c r="J29" s="133">
        <v>49</v>
      </c>
      <c r="K29" s="131" t="s">
        <v>16</v>
      </c>
      <c r="L29" s="133">
        <v>5</v>
      </c>
      <c r="M29" s="253">
        <v>8</v>
      </c>
      <c r="N29" s="135">
        <v>6.8979591836734704</v>
      </c>
      <c r="O29" s="279">
        <v>41</v>
      </c>
      <c r="P29" s="348"/>
      <c r="Q29" s="13"/>
    </row>
    <row r="30" spans="1:17" ht="19.5" customHeight="1" thickBot="1" x14ac:dyDescent="0.35">
      <c r="A30" s="32"/>
      <c r="B30" s="130">
        <f t="shared" si="3"/>
        <v>2026</v>
      </c>
      <c r="C30" s="130">
        <f>C3</f>
        <v>2</v>
      </c>
      <c r="D30" s="131">
        <v>501</v>
      </c>
      <c r="E30" s="137">
        <v>46035</v>
      </c>
      <c r="F30" s="323">
        <v>35</v>
      </c>
      <c r="G30" s="138">
        <v>24</v>
      </c>
      <c r="H30" s="131" t="s">
        <v>14</v>
      </c>
      <c r="I30" s="133" t="s">
        <v>24</v>
      </c>
      <c r="J30" s="133">
        <v>1</v>
      </c>
      <c r="K30" s="131" t="s">
        <v>16</v>
      </c>
      <c r="L30" s="133">
        <v>7</v>
      </c>
      <c r="M30" s="253">
        <v>7</v>
      </c>
      <c r="N30" s="135">
        <v>7</v>
      </c>
      <c r="O30" s="279">
        <v>1</v>
      </c>
      <c r="P30" s="348"/>
      <c r="Q30" s="13"/>
    </row>
    <row r="31" spans="1:17" ht="19.5" customHeight="1" thickBot="1" x14ac:dyDescent="0.35">
      <c r="A31" s="32"/>
      <c r="B31" s="130">
        <f t="shared" si="3"/>
        <v>2026</v>
      </c>
      <c r="C31" s="130">
        <f>C3</f>
        <v>2</v>
      </c>
      <c r="D31" s="131">
        <v>504</v>
      </c>
      <c r="E31" s="132">
        <v>46035</v>
      </c>
      <c r="F31" s="135">
        <v>30.5</v>
      </c>
      <c r="G31" s="133">
        <v>27</v>
      </c>
      <c r="H31" s="131" t="s">
        <v>14</v>
      </c>
      <c r="I31" s="133" t="s">
        <v>24</v>
      </c>
      <c r="J31" s="133">
        <v>6</v>
      </c>
      <c r="K31" s="131" t="s">
        <v>16</v>
      </c>
      <c r="L31" s="133">
        <v>6</v>
      </c>
      <c r="M31" s="253">
        <v>6</v>
      </c>
      <c r="N31" s="135">
        <v>6</v>
      </c>
      <c r="O31" s="279">
        <v>6</v>
      </c>
      <c r="P31" s="348"/>
      <c r="Q31" s="13"/>
    </row>
    <row r="32" spans="1:17" ht="19.5" customHeight="1" thickBot="1" x14ac:dyDescent="0.35">
      <c r="A32" s="32"/>
      <c r="B32" s="130">
        <f t="shared" si="3"/>
        <v>2026</v>
      </c>
      <c r="C32" s="130">
        <f>C3</f>
        <v>2</v>
      </c>
      <c r="D32" s="131">
        <v>519</v>
      </c>
      <c r="E32" s="132">
        <v>46035</v>
      </c>
      <c r="F32" s="135">
        <v>36.1</v>
      </c>
      <c r="G32" s="133">
        <v>18</v>
      </c>
      <c r="H32" s="131" t="s">
        <v>14</v>
      </c>
      <c r="I32" s="133" t="s">
        <v>24</v>
      </c>
      <c r="J32" s="133">
        <v>4</v>
      </c>
      <c r="K32" s="131" t="s">
        <v>16</v>
      </c>
      <c r="L32" s="133">
        <v>6</v>
      </c>
      <c r="M32" s="253">
        <v>6</v>
      </c>
      <c r="N32" s="135">
        <v>6</v>
      </c>
      <c r="O32" s="279">
        <v>4</v>
      </c>
      <c r="P32" s="348"/>
      <c r="Q32" s="13"/>
    </row>
    <row r="33" spans="1:17" ht="19.5" customHeight="1" thickBot="1" x14ac:dyDescent="0.35">
      <c r="A33" s="32"/>
      <c r="B33" s="130">
        <f t="shared" si="3"/>
        <v>2026</v>
      </c>
      <c r="C33" s="130">
        <f>C3</f>
        <v>2</v>
      </c>
      <c r="D33" s="131">
        <v>602</v>
      </c>
      <c r="E33" s="137">
        <v>46035</v>
      </c>
      <c r="F33" s="323">
        <v>36.200000000000003</v>
      </c>
      <c r="G33" s="138">
        <v>27</v>
      </c>
      <c r="H33" s="131" t="s">
        <v>14</v>
      </c>
      <c r="I33" s="133" t="s">
        <v>24</v>
      </c>
      <c r="J33" s="133">
        <v>4</v>
      </c>
      <c r="K33" s="131" t="s">
        <v>16</v>
      </c>
      <c r="L33" s="133">
        <v>7</v>
      </c>
      <c r="M33" s="253">
        <v>7</v>
      </c>
      <c r="N33" s="135">
        <v>7</v>
      </c>
      <c r="O33" s="279">
        <v>0</v>
      </c>
      <c r="P33" s="348"/>
      <c r="Q33" s="13"/>
    </row>
    <row r="34" spans="1:17" ht="19.5" customHeight="1" thickBot="1" x14ac:dyDescent="0.35">
      <c r="A34" s="32"/>
      <c r="B34" s="130">
        <f t="shared" si="3"/>
        <v>2026</v>
      </c>
      <c r="C34" s="130">
        <f>C3</f>
        <v>2</v>
      </c>
      <c r="D34" s="131">
        <v>606</v>
      </c>
      <c r="E34" s="132">
        <v>46035</v>
      </c>
      <c r="F34" s="135">
        <v>34.6</v>
      </c>
      <c r="G34" s="133">
        <v>11</v>
      </c>
      <c r="H34" s="131" t="s">
        <v>14</v>
      </c>
      <c r="I34" s="133" t="s">
        <v>24</v>
      </c>
      <c r="J34" s="133">
        <v>2</v>
      </c>
      <c r="K34" s="131" t="s">
        <v>16</v>
      </c>
      <c r="L34" s="133">
        <v>6</v>
      </c>
      <c r="M34" s="253">
        <v>8</v>
      </c>
      <c r="N34" s="135">
        <v>7</v>
      </c>
      <c r="O34" s="279">
        <v>1</v>
      </c>
      <c r="P34" s="348"/>
      <c r="Q34" s="13"/>
    </row>
    <row r="35" spans="1:17" ht="19.5" customHeight="1" thickBot="1" x14ac:dyDescent="0.35">
      <c r="A35" s="32"/>
      <c r="B35" s="130">
        <f t="shared" si="3"/>
        <v>2026</v>
      </c>
      <c r="C35" s="130">
        <f>C3</f>
        <v>2</v>
      </c>
      <c r="D35" s="131">
        <v>609</v>
      </c>
      <c r="E35" s="132">
        <v>46035</v>
      </c>
      <c r="F35" s="135">
        <v>21.6</v>
      </c>
      <c r="G35" s="133">
        <v>33</v>
      </c>
      <c r="H35" s="131" t="s">
        <v>14</v>
      </c>
      <c r="I35" s="133" t="s">
        <v>15</v>
      </c>
      <c r="J35" s="133"/>
      <c r="K35" s="131" t="s">
        <v>16</v>
      </c>
      <c r="L35" s="133"/>
      <c r="M35" s="253"/>
      <c r="N35" s="135"/>
      <c r="O35" s="279"/>
      <c r="P35" s="348"/>
      <c r="Q35" s="13"/>
    </row>
    <row r="36" spans="1:17" ht="19.5" customHeight="1" thickBot="1" x14ac:dyDescent="0.35">
      <c r="A36" s="32"/>
      <c r="B36" s="139">
        <f t="shared" si="3"/>
        <v>2026</v>
      </c>
      <c r="C36" s="140">
        <f>C3</f>
        <v>2</v>
      </c>
      <c r="D36" s="141">
        <v>610</v>
      </c>
      <c r="E36" s="142">
        <v>46035</v>
      </c>
      <c r="F36" s="324">
        <v>29.5</v>
      </c>
      <c r="G36" s="143">
        <v>24</v>
      </c>
      <c r="H36" s="141" t="s">
        <v>14</v>
      </c>
      <c r="I36" s="144" t="s">
        <v>24</v>
      </c>
      <c r="J36" s="144">
        <v>1</v>
      </c>
      <c r="K36" s="141" t="s">
        <v>16</v>
      </c>
      <c r="L36" s="144">
        <v>6</v>
      </c>
      <c r="M36" s="254">
        <v>6</v>
      </c>
      <c r="N36" s="146">
        <v>6</v>
      </c>
      <c r="O36" s="280">
        <v>0</v>
      </c>
      <c r="P36" s="348"/>
      <c r="Q36" s="13"/>
    </row>
    <row r="37" spans="1:17" ht="19.5" customHeight="1" thickBot="1" x14ac:dyDescent="0.35">
      <c r="A37" s="32"/>
      <c r="B37" s="148">
        <f t="shared" si="3"/>
        <v>2026</v>
      </c>
      <c r="C37" s="149">
        <f>C3</f>
        <v>2</v>
      </c>
      <c r="D37" s="150">
        <v>508</v>
      </c>
      <c r="E37" s="151">
        <v>46035</v>
      </c>
      <c r="F37" s="325">
        <v>29.1</v>
      </c>
      <c r="G37" s="152">
        <v>24</v>
      </c>
      <c r="H37" s="153" t="s">
        <v>14</v>
      </c>
      <c r="I37" s="153" t="s">
        <v>24</v>
      </c>
      <c r="J37" s="153">
        <v>5</v>
      </c>
      <c r="K37" s="150" t="s">
        <v>16</v>
      </c>
      <c r="L37" s="153">
        <v>6</v>
      </c>
      <c r="M37" s="255">
        <v>7</v>
      </c>
      <c r="N37" s="155">
        <v>6.2</v>
      </c>
      <c r="O37" s="281">
        <v>4</v>
      </c>
      <c r="P37" s="349" t="s">
        <v>13</v>
      </c>
      <c r="Q37" s="13"/>
    </row>
    <row r="38" spans="1:17" ht="19.5" customHeight="1" thickBot="1" x14ac:dyDescent="0.35">
      <c r="A38" s="32"/>
      <c r="B38" s="157">
        <f t="shared" si="3"/>
        <v>2026</v>
      </c>
      <c r="C38" s="149">
        <f>C3</f>
        <v>2</v>
      </c>
      <c r="D38" s="158">
        <v>513</v>
      </c>
      <c r="E38" s="159">
        <v>46036</v>
      </c>
      <c r="F38" s="326">
        <v>32.1</v>
      </c>
      <c r="G38" s="160">
        <v>30</v>
      </c>
      <c r="H38" s="161" t="s">
        <v>14</v>
      </c>
      <c r="I38" s="161" t="s">
        <v>24</v>
      </c>
      <c r="J38" s="161">
        <v>1</v>
      </c>
      <c r="K38" s="158" t="s">
        <v>16</v>
      </c>
      <c r="L38" s="161">
        <v>7</v>
      </c>
      <c r="M38" s="256">
        <v>7</v>
      </c>
      <c r="N38" s="163">
        <v>7</v>
      </c>
      <c r="O38" s="282">
        <v>1</v>
      </c>
      <c r="P38" s="349"/>
      <c r="Q38" s="13"/>
    </row>
    <row r="39" spans="1:17" ht="19.5" customHeight="1" thickBot="1" x14ac:dyDescent="0.35">
      <c r="A39" s="32"/>
      <c r="B39" s="157">
        <f t="shared" si="3"/>
        <v>2026</v>
      </c>
      <c r="C39" s="149">
        <f>C3</f>
        <v>2</v>
      </c>
      <c r="D39" s="158">
        <v>520</v>
      </c>
      <c r="E39" s="159">
        <v>46036</v>
      </c>
      <c r="F39" s="326">
        <v>23.6</v>
      </c>
      <c r="G39" s="160">
        <v>27</v>
      </c>
      <c r="H39" s="161" t="s">
        <v>14</v>
      </c>
      <c r="I39" s="161" t="s">
        <v>24</v>
      </c>
      <c r="J39" s="161">
        <v>2</v>
      </c>
      <c r="K39" s="158" t="s">
        <v>16</v>
      </c>
      <c r="L39" s="161">
        <v>6</v>
      </c>
      <c r="M39" s="256">
        <v>7</v>
      </c>
      <c r="N39" s="163">
        <v>6.5</v>
      </c>
      <c r="O39" s="282">
        <v>2</v>
      </c>
      <c r="P39" s="349"/>
      <c r="Q39" s="13"/>
    </row>
    <row r="40" spans="1:17" ht="19.5" customHeight="1" thickBot="1" x14ac:dyDescent="0.35">
      <c r="A40" s="32"/>
      <c r="B40" s="157">
        <f t="shared" si="3"/>
        <v>2026</v>
      </c>
      <c r="C40" s="149">
        <f>C3</f>
        <v>2</v>
      </c>
      <c r="D40" s="158">
        <v>801</v>
      </c>
      <c r="E40" s="159">
        <v>46036</v>
      </c>
      <c r="F40" s="326">
        <v>25</v>
      </c>
      <c r="G40" s="160">
        <v>33</v>
      </c>
      <c r="H40" s="161" t="s">
        <v>14</v>
      </c>
      <c r="I40" s="161" t="s">
        <v>24</v>
      </c>
      <c r="J40" s="161">
        <v>2</v>
      </c>
      <c r="K40" s="158" t="s">
        <v>16</v>
      </c>
      <c r="L40" s="161">
        <v>6</v>
      </c>
      <c r="M40" s="256">
        <v>7</v>
      </c>
      <c r="N40" s="163">
        <v>6.5</v>
      </c>
      <c r="O40" s="282">
        <v>2</v>
      </c>
      <c r="P40" s="349"/>
      <c r="Q40" s="13"/>
    </row>
    <row r="41" spans="1:17" ht="19.5" customHeight="1" thickBot="1" x14ac:dyDescent="0.35">
      <c r="A41" s="32"/>
      <c r="B41" s="165">
        <f t="shared" si="3"/>
        <v>2026</v>
      </c>
      <c r="C41" s="166">
        <f>C3</f>
        <v>2</v>
      </c>
      <c r="D41" s="167">
        <v>804</v>
      </c>
      <c r="E41" s="168">
        <v>46036</v>
      </c>
      <c r="F41" s="327">
        <v>18.100000000000001</v>
      </c>
      <c r="G41" s="169">
        <v>42</v>
      </c>
      <c r="H41" s="170" t="s">
        <v>14</v>
      </c>
      <c r="I41" s="170" t="s">
        <v>24</v>
      </c>
      <c r="J41" s="170">
        <v>2</v>
      </c>
      <c r="K41" s="167" t="s">
        <v>16</v>
      </c>
      <c r="L41" s="170">
        <v>6</v>
      </c>
      <c r="M41" s="257">
        <v>6</v>
      </c>
      <c r="N41" s="172">
        <v>6</v>
      </c>
      <c r="O41" s="283">
        <v>2</v>
      </c>
      <c r="P41" s="349"/>
      <c r="Q41" s="13"/>
    </row>
    <row r="42" spans="1:17" ht="19.5" customHeight="1" x14ac:dyDescent="0.3">
      <c r="A42" s="32"/>
      <c r="B42" s="174">
        <f t="shared" si="3"/>
        <v>2026</v>
      </c>
      <c r="C42" s="175">
        <f>C3</f>
        <v>2</v>
      </c>
      <c r="D42" s="176">
        <v>703</v>
      </c>
      <c r="E42" s="177">
        <v>46036</v>
      </c>
      <c r="F42" s="328">
        <v>32.1</v>
      </c>
      <c r="G42" s="178">
        <v>42</v>
      </c>
      <c r="H42" s="179" t="s">
        <v>14</v>
      </c>
      <c r="I42" s="180" t="s">
        <v>15</v>
      </c>
      <c r="J42" s="180"/>
      <c r="K42" s="176" t="s">
        <v>16</v>
      </c>
      <c r="L42" s="180"/>
      <c r="M42" s="258"/>
      <c r="N42" s="182"/>
      <c r="O42" s="284"/>
      <c r="P42" s="350" t="s">
        <v>34</v>
      </c>
      <c r="Q42" s="13"/>
    </row>
    <row r="43" spans="1:17" ht="19.5" customHeight="1" x14ac:dyDescent="0.3">
      <c r="A43" s="32"/>
      <c r="B43" s="184">
        <f t="shared" si="3"/>
        <v>2026</v>
      </c>
      <c r="C43" s="185">
        <f>C3</f>
        <v>2</v>
      </c>
      <c r="D43" s="186">
        <v>704</v>
      </c>
      <c r="E43" s="187">
        <v>46036</v>
      </c>
      <c r="F43" s="329">
        <v>32.1</v>
      </c>
      <c r="G43" s="188">
        <v>31</v>
      </c>
      <c r="H43" s="179" t="s">
        <v>14</v>
      </c>
      <c r="I43" s="189" t="s">
        <v>15</v>
      </c>
      <c r="J43" s="189"/>
      <c r="K43" s="186" t="s">
        <v>16</v>
      </c>
      <c r="L43" s="189"/>
      <c r="M43" s="259"/>
      <c r="N43" s="191"/>
      <c r="O43" s="285"/>
      <c r="P43" s="351"/>
      <c r="Q43" s="13"/>
    </row>
    <row r="44" spans="1:17" ht="19.5" customHeight="1" x14ac:dyDescent="0.3">
      <c r="A44" s="32"/>
      <c r="B44" s="184">
        <f t="shared" si="3"/>
        <v>2026</v>
      </c>
      <c r="C44" s="185">
        <f>C3</f>
        <v>2</v>
      </c>
      <c r="D44" s="186">
        <v>705</v>
      </c>
      <c r="E44" s="187">
        <v>46036</v>
      </c>
      <c r="F44" s="329">
        <v>20</v>
      </c>
      <c r="G44" s="188">
        <v>49</v>
      </c>
      <c r="H44" s="179" t="s">
        <v>14</v>
      </c>
      <c r="I44" s="189" t="s">
        <v>15</v>
      </c>
      <c r="J44" s="189"/>
      <c r="K44" s="186" t="s">
        <v>16</v>
      </c>
      <c r="L44" s="189"/>
      <c r="M44" s="259"/>
      <c r="N44" s="191"/>
      <c r="O44" s="285"/>
      <c r="P44" s="351"/>
      <c r="Q44" s="13"/>
    </row>
    <row r="45" spans="1:17" ht="19.5" customHeight="1" x14ac:dyDescent="0.3">
      <c r="A45" s="32"/>
      <c r="B45" s="184">
        <f t="shared" si="3"/>
        <v>2026</v>
      </c>
      <c r="C45" s="185">
        <f>C3</f>
        <v>2</v>
      </c>
      <c r="D45" s="186">
        <v>706</v>
      </c>
      <c r="E45" s="187">
        <v>46036</v>
      </c>
      <c r="F45" s="329">
        <v>32.299999999999997</v>
      </c>
      <c r="G45" s="188">
        <v>36</v>
      </c>
      <c r="H45" s="179" t="s">
        <v>14</v>
      </c>
      <c r="I45" s="189" t="s">
        <v>15</v>
      </c>
      <c r="J45" s="189"/>
      <c r="K45" s="186" t="s">
        <v>16</v>
      </c>
      <c r="L45" s="189"/>
      <c r="M45" s="259"/>
      <c r="N45" s="191"/>
      <c r="O45" s="285"/>
      <c r="P45" s="351"/>
      <c r="Q45" s="13"/>
    </row>
    <row r="46" spans="1:17" ht="19.5" customHeight="1" x14ac:dyDescent="0.3">
      <c r="A46" s="32"/>
      <c r="B46" s="184">
        <f t="shared" si="3"/>
        <v>2026</v>
      </c>
      <c r="C46" s="185">
        <f>C3</f>
        <v>2</v>
      </c>
      <c r="D46" s="186">
        <v>707</v>
      </c>
      <c r="E46" s="187">
        <v>46036</v>
      </c>
      <c r="F46" s="329">
        <v>27.3</v>
      </c>
      <c r="G46" s="188">
        <v>38</v>
      </c>
      <c r="H46" s="179" t="s">
        <v>14</v>
      </c>
      <c r="I46" s="189" t="s">
        <v>15</v>
      </c>
      <c r="J46" s="189"/>
      <c r="K46" s="186" t="s">
        <v>16</v>
      </c>
      <c r="L46" s="189"/>
      <c r="M46" s="259"/>
      <c r="N46" s="191"/>
      <c r="O46" s="285"/>
      <c r="P46" s="351"/>
      <c r="Q46" s="13"/>
    </row>
    <row r="47" spans="1:17" ht="19.5" customHeight="1" x14ac:dyDescent="0.3">
      <c r="A47" s="32"/>
      <c r="B47" s="184">
        <f t="shared" si="3"/>
        <v>2026</v>
      </c>
      <c r="C47" s="185">
        <f>C3</f>
        <v>2</v>
      </c>
      <c r="D47" s="186">
        <v>711</v>
      </c>
      <c r="E47" s="187">
        <v>46036</v>
      </c>
      <c r="F47" s="329">
        <v>27.6</v>
      </c>
      <c r="G47" s="188">
        <v>36</v>
      </c>
      <c r="H47" s="179" t="s">
        <v>14</v>
      </c>
      <c r="I47" s="189" t="s">
        <v>15</v>
      </c>
      <c r="J47" s="189"/>
      <c r="K47" s="186" t="s">
        <v>16</v>
      </c>
      <c r="L47" s="189"/>
      <c r="M47" s="259"/>
      <c r="N47" s="191"/>
      <c r="O47" s="285"/>
      <c r="P47" s="351"/>
      <c r="Q47" s="13"/>
    </row>
    <row r="48" spans="1:17" ht="19.5" customHeight="1" x14ac:dyDescent="0.3">
      <c r="A48" s="32"/>
      <c r="B48" s="193">
        <f t="shared" si="3"/>
        <v>2026</v>
      </c>
      <c r="C48" s="193">
        <f>C3</f>
        <v>2</v>
      </c>
      <c r="D48" s="194">
        <v>716</v>
      </c>
      <c r="E48" s="195">
        <v>46036</v>
      </c>
      <c r="F48" s="330">
        <v>30.5</v>
      </c>
      <c r="G48" s="196">
        <v>40</v>
      </c>
      <c r="H48" s="197" t="s">
        <v>14</v>
      </c>
      <c r="I48" s="196" t="s">
        <v>15</v>
      </c>
      <c r="J48" s="196"/>
      <c r="K48" s="194" t="s">
        <v>16</v>
      </c>
      <c r="L48" s="260"/>
      <c r="M48" s="261"/>
      <c r="N48" s="199"/>
      <c r="O48" s="286"/>
      <c r="P48" s="351"/>
      <c r="Q48" s="13"/>
    </row>
    <row r="49" spans="1:17" ht="19.5" customHeight="1" thickBot="1" x14ac:dyDescent="0.35">
      <c r="A49" s="32"/>
      <c r="B49" s="184">
        <f t="shared" si="3"/>
        <v>2026</v>
      </c>
      <c r="C49" s="185">
        <f>C3</f>
        <v>2</v>
      </c>
      <c r="D49" s="186">
        <v>723</v>
      </c>
      <c r="E49" s="187">
        <v>46036</v>
      </c>
      <c r="F49" s="329">
        <v>25.8</v>
      </c>
      <c r="G49" s="188">
        <v>39</v>
      </c>
      <c r="H49" s="179" t="s">
        <v>14</v>
      </c>
      <c r="I49" s="188" t="s">
        <v>15</v>
      </c>
      <c r="J49" s="189"/>
      <c r="K49" s="179" t="s">
        <v>16</v>
      </c>
      <c r="L49" s="188"/>
      <c r="M49" s="262"/>
      <c r="N49" s="202"/>
      <c r="O49" s="287"/>
      <c r="P49" s="352"/>
      <c r="Q49" s="13"/>
    </row>
    <row r="50" spans="1:17" ht="19.5" customHeight="1" thickBot="1" x14ac:dyDescent="0.35">
      <c r="A50" s="32"/>
      <c r="B50" s="204">
        <v>2026</v>
      </c>
      <c r="C50" s="205">
        <f>C3</f>
        <v>2</v>
      </c>
      <c r="D50" s="206">
        <v>809</v>
      </c>
      <c r="E50" s="207">
        <v>46034</v>
      </c>
      <c r="F50" s="331">
        <v>21.7</v>
      </c>
      <c r="G50" s="208">
        <v>41</v>
      </c>
      <c r="H50" s="206" t="s">
        <v>14</v>
      </c>
      <c r="I50" s="209" t="s">
        <v>24</v>
      </c>
      <c r="J50" s="209">
        <v>2</v>
      </c>
      <c r="K50" s="206" t="s">
        <v>16</v>
      </c>
      <c r="L50" s="209">
        <v>7</v>
      </c>
      <c r="M50" s="263">
        <v>7</v>
      </c>
      <c r="N50" s="211">
        <v>7</v>
      </c>
      <c r="O50" s="288">
        <v>0</v>
      </c>
      <c r="P50" s="342" t="s">
        <v>28</v>
      </c>
      <c r="Q50" s="13"/>
    </row>
    <row r="51" spans="1:17" ht="19.5" customHeight="1" thickBot="1" x14ac:dyDescent="0.35">
      <c r="A51" s="32"/>
      <c r="B51" s="213">
        <f t="shared" si="3"/>
        <v>2026</v>
      </c>
      <c r="C51" s="214">
        <f>C3</f>
        <v>2</v>
      </c>
      <c r="D51" s="215">
        <v>812</v>
      </c>
      <c r="E51" s="216">
        <v>46034</v>
      </c>
      <c r="F51" s="332">
        <v>26.5</v>
      </c>
      <c r="G51" s="217">
        <v>36</v>
      </c>
      <c r="H51" s="215" t="s">
        <v>14</v>
      </c>
      <c r="I51" s="218" t="s">
        <v>15</v>
      </c>
      <c r="J51" s="218"/>
      <c r="K51" s="215" t="s">
        <v>16</v>
      </c>
      <c r="L51" s="218"/>
      <c r="M51" s="264"/>
      <c r="N51" s="220"/>
      <c r="O51" s="289"/>
      <c r="P51" s="342"/>
      <c r="Q51" s="13"/>
    </row>
    <row r="52" spans="1:17" ht="19.5" customHeight="1" thickBot="1" x14ac:dyDescent="0.35">
      <c r="A52" s="32"/>
      <c r="B52" s="222">
        <f t="shared" si="3"/>
        <v>2026</v>
      </c>
      <c r="C52" s="223">
        <f>C3</f>
        <v>2</v>
      </c>
      <c r="D52" s="224">
        <v>815</v>
      </c>
      <c r="E52" s="225">
        <v>46034</v>
      </c>
      <c r="F52" s="333">
        <v>22.6</v>
      </c>
      <c r="G52" s="226">
        <v>35</v>
      </c>
      <c r="H52" s="227" t="s">
        <v>14</v>
      </c>
      <c r="I52" s="228" t="s">
        <v>15</v>
      </c>
      <c r="J52" s="228"/>
      <c r="K52" s="224" t="s">
        <v>16</v>
      </c>
      <c r="L52" s="228"/>
      <c r="M52" s="265"/>
      <c r="N52" s="230"/>
      <c r="O52" s="290"/>
      <c r="P52" s="342"/>
      <c r="Q52" s="13"/>
    </row>
    <row r="53" spans="1:17" ht="19.5" customHeight="1" thickBot="1" x14ac:dyDescent="0.35">
      <c r="A53" s="32"/>
      <c r="B53" s="222">
        <f t="shared" si="3"/>
        <v>2026</v>
      </c>
      <c r="C53" s="223">
        <f>C3</f>
        <v>2</v>
      </c>
      <c r="D53" s="224" t="s">
        <v>21</v>
      </c>
      <c r="E53" s="232">
        <v>46034</v>
      </c>
      <c r="F53" s="334">
        <v>14.4</v>
      </c>
      <c r="G53" s="226">
        <v>52</v>
      </c>
      <c r="H53" s="227" t="s">
        <v>14</v>
      </c>
      <c r="I53" s="228" t="s">
        <v>15</v>
      </c>
      <c r="J53" s="228"/>
      <c r="K53" s="224" t="s">
        <v>16</v>
      </c>
      <c r="L53" s="228"/>
      <c r="M53" s="265"/>
      <c r="N53" s="230"/>
      <c r="O53" s="290"/>
      <c r="P53" s="342"/>
      <c r="Q53" s="13"/>
    </row>
    <row r="54" spans="1:17" ht="19.5" customHeight="1" thickBot="1" x14ac:dyDescent="0.35">
      <c r="A54" s="32"/>
      <c r="B54" s="222">
        <f t="shared" si="3"/>
        <v>2026</v>
      </c>
      <c r="C54" s="223">
        <f>C3</f>
        <v>2</v>
      </c>
      <c r="D54" s="224">
        <v>902</v>
      </c>
      <c r="E54" s="232">
        <v>46034</v>
      </c>
      <c r="F54" s="334">
        <v>7.2</v>
      </c>
      <c r="G54" s="226">
        <v>110</v>
      </c>
      <c r="H54" s="227" t="s">
        <v>14</v>
      </c>
      <c r="I54" s="228" t="s">
        <v>15</v>
      </c>
      <c r="J54" s="228"/>
      <c r="K54" s="224" t="s">
        <v>16</v>
      </c>
      <c r="L54" s="228"/>
      <c r="M54" s="265"/>
      <c r="N54" s="230"/>
      <c r="O54" s="290"/>
      <c r="P54" s="342"/>
      <c r="Q54" s="13"/>
    </row>
    <row r="55" spans="1:17" ht="19.5" customHeight="1" thickBot="1" x14ac:dyDescent="0.35">
      <c r="A55" s="32"/>
      <c r="B55" s="222">
        <f t="shared" si="3"/>
        <v>2026</v>
      </c>
      <c r="C55" s="223">
        <f>C3</f>
        <v>2</v>
      </c>
      <c r="D55" s="224">
        <v>906</v>
      </c>
      <c r="E55" s="232">
        <v>46036</v>
      </c>
      <c r="F55" s="334">
        <v>11</v>
      </c>
      <c r="G55" s="226">
        <v>60</v>
      </c>
      <c r="H55" s="227" t="s">
        <v>14</v>
      </c>
      <c r="I55" s="228" t="s">
        <v>15</v>
      </c>
      <c r="J55" s="228"/>
      <c r="K55" s="224" t="s">
        <v>16</v>
      </c>
      <c r="L55" s="228"/>
      <c r="M55" s="265"/>
      <c r="N55" s="230"/>
      <c r="O55" s="290"/>
      <c r="P55" s="342"/>
      <c r="Q55" s="13"/>
    </row>
    <row r="56" spans="1:17" ht="19.5" customHeight="1" thickBot="1" x14ac:dyDescent="0.35">
      <c r="A56" s="32"/>
      <c r="B56" s="222">
        <f t="shared" si="3"/>
        <v>2026</v>
      </c>
      <c r="C56" s="223">
        <f>C3</f>
        <v>2</v>
      </c>
      <c r="D56" s="224">
        <v>910</v>
      </c>
      <c r="E56" s="232">
        <v>46036</v>
      </c>
      <c r="F56" s="334">
        <v>9.1999999999999993</v>
      </c>
      <c r="G56" s="226">
        <v>60</v>
      </c>
      <c r="H56" s="227" t="s">
        <v>14</v>
      </c>
      <c r="I56" s="228" t="s">
        <v>15</v>
      </c>
      <c r="J56" s="228"/>
      <c r="K56" s="224" t="s">
        <v>16</v>
      </c>
      <c r="L56" s="228"/>
      <c r="M56" s="265"/>
      <c r="N56" s="230"/>
      <c r="O56" s="290"/>
      <c r="P56" s="342"/>
      <c r="Q56" s="13"/>
    </row>
    <row r="57" spans="1:17" ht="19.5" customHeight="1" thickBot="1" x14ac:dyDescent="0.35">
      <c r="A57" s="32"/>
      <c r="B57" s="222">
        <f t="shared" si="3"/>
        <v>2026</v>
      </c>
      <c r="C57" s="223">
        <f>C3</f>
        <v>2</v>
      </c>
      <c r="D57" s="224">
        <v>912</v>
      </c>
      <c r="E57" s="232">
        <v>46034</v>
      </c>
      <c r="F57" s="334">
        <v>3.1</v>
      </c>
      <c r="G57" s="226">
        <v>115</v>
      </c>
      <c r="H57" s="227" t="s">
        <v>14</v>
      </c>
      <c r="I57" s="228" t="s">
        <v>15</v>
      </c>
      <c r="J57" s="228"/>
      <c r="K57" s="224" t="s">
        <v>16</v>
      </c>
      <c r="L57" s="228"/>
      <c r="M57" s="265"/>
      <c r="N57" s="230"/>
      <c r="O57" s="290"/>
      <c r="P57" s="342"/>
      <c r="Q57" s="13"/>
    </row>
    <row r="58" spans="1:17" ht="19.5" customHeight="1" thickBot="1" x14ac:dyDescent="0.35">
      <c r="A58" s="32"/>
      <c r="B58" s="222">
        <f t="shared" si="3"/>
        <v>2026</v>
      </c>
      <c r="C58" s="223">
        <f>C3</f>
        <v>2</v>
      </c>
      <c r="D58" s="224">
        <v>914</v>
      </c>
      <c r="E58" s="232">
        <v>46034</v>
      </c>
      <c r="F58" s="334">
        <v>6.4</v>
      </c>
      <c r="G58" s="226">
        <v>111</v>
      </c>
      <c r="H58" s="227" t="s">
        <v>14</v>
      </c>
      <c r="I58" s="228" t="s">
        <v>15</v>
      </c>
      <c r="J58" s="228"/>
      <c r="K58" s="224" t="s">
        <v>16</v>
      </c>
      <c r="L58" s="228"/>
      <c r="M58" s="265"/>
      <c r="N58" s="230"/>
      <c r="O58" s="290"/>
      <c r="P58" s="342"/>
      <c r="Q58" s="13"/>
    </row>
    <row r="59" spans="1:17" ht="19.5" customHeight="1" thickBot="1" x14ac:dyDescent="0.35">
      <c r="A59" s="32"/>
      <c r="B59" s="222">
        <f t="shared" si="3"/>
        <v>2026</v>
      </c>
      <c r="C59" s="223">
        <f>C3</f>
        <v>2</v>
      </c>
      <c r="D59" s="224">
        <v>915</v>
      </c>
      <c r="E59" s="232">
        <v>46034</v>
      </c>
      <c r="F59" s="334">
        <v>5.8</v>
      </c>
      <c r="G59" s="226">
        <v>105</v>
      </c>
      <c r="H59" s="227" t="s">
        <v>14</v>
      </c>
      <c r="I59" s="228" t="s">
        <v>15</v>
      </c>
      <c r="J59" s="228"/>
      <c r="K59" s="224" t="s">
        <v>16</v>
      </c>
      <c r="L59" s="228"/>
      <c r="M59" s="265"/>
      <c r="N59" s="230"/>
      <c r="O59" s="290"/>
      <c r="P59" s="342"/>
      <c r="Q59" s="13"/>
    </row>
    <row r="60" spans="1:17" ht="19.5" customHeight="1" thickBot="1" x14ac:dyDescent="0.35">
      <c r="A60" s="32"/>
      <c r="B60" s="222">
        <f t="shared" si="3"/>
        <v>2026</v>
      </c>
      <c r="C60" s="223">
        <f>C3</f>
        <v>2</v>
      </c>
      <c r="D60" s="224">
        <v>918</v>
      </c>
      <c r="E60" s="232">
        <v>46034</v>
      </c>
      <c r="F60" s="334">
        <v>4.5999999999999996</v>
      </c>
      <c r="G60" s="226">
        <v>145</v>
      </c>
      <c r="H60" s="227" t="s">
        <v>14</v>
      </c>
      <c r="I60" s="228" t="s">
        <v>15</v>
      </c>
      <c r="J60" s="228"/>
      <c r="K60" s="224" t="s">
        <v>16</v>
      </c>
      <c r="L60" s="228"/>
      <c r="M60" s="265"/>
      <c r="N60" s="230"/>
      <c r="O60" s="290"/>
      <c r="P60" s="342"/>
      <c r="Q60" s="13"/>
    </row>
    <row r="61" spans="1:17" ht="19.5" customHeight="1" thickBot="1" x14ac:dyDescent="0.35">
      <c r="A61" s="32"/>
      <c r="B61" s="233">
        <f t="shared" si="3"/>
        <v>2026</v>
      </c>
      <c r="C61" s="234">
        <f>C3</f>
        <v>2</v>
      </c>
      <c r="D61" s="235">
        <v>919</v>
      </c>
      <c r="E61" s="236">
        <v>46036</v>
      </c>
      <c r="F61" s="335">
        <v>14.9</v>
      </c>
      <c r="G61" s="237">
        <v>47</v>
      </c>
      <c r="H61" s="227" t="s">
        <v>14</v>
      </c>
      <c r="I61" s="238" t="s">
        <v>15</v>
      </c>
      <c r="J61" s="238"/>
      <c r="K61" s="235" t="s">
        <v>16</v>
      </c>
      <c r="L61" s="238"/>
      <c r="M61" s="266"/>
      <c r="N61" s="240"/>
      <c r="O61" s="291"/>
      <c r="P61" s="342"/>
      <c r="Q61" s="13"/>
    </row>
    <row r="62" spans="1:17" ht="19.5" customHeight="1" x14ac:dyDescent="0.3">
      <c r="A62" s="32"/>
      <c r="B62" s="4" t="s">
        <v>18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/>
    </row>
    <row r="63" spans="1:17" ht="19.5" customHeight="1" x14ac:dyDescent="0.3">
      <c r="A63" s="32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/>
    </row>
    <row r="64" spans="1:17" ht="19.5" customHeight="1" x14ac:dyDescent="0.3">
      <c r="A64" s="32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/>
    </row>
    <row r="65" spans="1:30" ht="19.5" customHeight="1" x14ac:dyDescent="0.3">
      <c r="A65" s="32"/>
      <c r="B65" s="7" t="s">
        <v>27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/>
    </row>
    <row r="66" spans="1:30" ht="19.5" customHeight="1" x14ac:dyDescent="0.3">
      <c r="A66" s="32"/>
      <c r="B66" s="19"/>
      <c r="C66" s="19"/>
      <c r="D66" s="19"/>
      <c r="E66" s="19"/>
      <c r="F66" s="19"/>
      <c r="G66"/>
      <c r="H66"/>
      <c r="I66"/>
      <c r="J66"/>
      <c r="K66"/>
      <c r="L66"/>
      <c r="M66"/>
      <c r="N66"/>
      <c r="O66"/>
      <c r="P66"/>
      <c r="Q66"/>
      <c r="S66" s="24"/>
      <c r="T66" s="24"/>
      <c r="U66" s="25"/>
      <c r="V66" s="24"/>
      <c r="W66" s="24"/>
      <c r="X66" s="23"/>
      <c r="Y66" s="26"/>
      <c r="Z66" s="23"/>
      <c r="AA66" s="26"/>
      <c r="AB66" s="26"/>
      <c r="AC66" s="26"/>
      <c r="AD66" s="24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  <c r="Q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  <c r="Q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  <c r="Q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  <c r="Q77"/>
    </row>
    <row r="78" spans="1:30" ht="14.4" x14ac:dyDescent="0.3">
      <c r="G78"/>
      <c r="H78"/>
      <c r="I78"/>
      <c r="J78"/>
      <c r="K78"/>
      <c r="L78"/>
      <c r="M78"/>
      <c r="N78"/>
      <c r="O78"/>
      <c r="P78"/>
      <c r="Q78"/>
    </row>
    <row r="79" spans="1:30" ht="14.4" x14ac:dyDescent="0.3">
      <c r="G79"/>
      <c r="H79"/>
      <c r="I79"/>
      <c r="J79"/>
      <c r="K79"/>
      <c r="L79"/>
      <c r="M79"/>
      <c r="N79"/>
      <c r="O79"/>
      <c r="P79"/>
      <c r="Q79"/>
    </row>
    <row r="80" spans="1:30" ht="14.4" x14ac:dyDescent="0.3">
      <c r="G80"/>
      <c r="H80"/>
      <c r="I80"/>
      <c r="J80"/>
      <c r="K80"/>
      <c r="L80"/>
      <c r="M80"/>
      <c r="N80"/>
      <c r="O80"/>
      <c r="P80"/>
      <c r="Q80"/>
    </row>
    <row r="81" spans="7:17" ht="14.4" x14ac:dyDescent="0.3">
      <c r="G81"/>
      <c r="H81"/>
      <c r="I81"/>
      <c r="J81"/>
      <c r="K81"/>
      <c r="L81"/>
      <c r="M81"/>
      <c r="N81"/>
      <c r="O81"/>
      <c r="P81"/>
      <c r="Q81"/>
    </row>
    <row r="82" spans="7:17" ht="14.4" x14ac:dyDescent="0.3">
      <c r="G82"/>
      <c r="H82"/>
      <c r="I82"/>
      <c r="J82"/>
      <c r="K82"/>
      <c r="L82"/>
      <c r="M82"/>
      <c r="N82"/>
      <c r="O82"/>
      <c r="P82"/>
      <c r="Q82"/>
    </row>
    <row r="83" spans="7:17" ht="14.4" x14ac:dyDescent="0.3">
      <c r="G83"/>
      <c r="H83"/>
      <c r="I83"/>
      <c r="J83"/>
      <c r="K83"/>
      <c r="L83"/>
      <c r="M83"/>
      <c r="N83"/>
      <c r="O83"/>
      <c r="P83"/>
      <c r="Q83"/>
    </row>
    <row r="84" spans="7:17" ht="14.4" x14ac:dyDescent="0.3">
      <c r="G84"/>
      <c r="H84"/>
      <c r="I84"/>
      <c r="J84"/>
      <c r="K84"/>
      <c r="L84"/>
      <c r="M84"/>
      <c r="N84"/>
      <c r="O84"/>
      <c r="P84"/>
      <c r="Q84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3"/>
  <sheetViews>
    <sheetView topLeftCell="A51" workbookViewId="0">
      <selection activeCell="I62" sqref="I62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" style="22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1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2"/>
      <c r="B3" s="38">
        <v>2026</v>
      </c>
      <c r="C3" s="38">
        <v>3</v>
      </c>
      <c r="D3" s="38">
        <v>306</v>
      </c>
      <c r="E3" s="39">
        <v>46049</v>
      </c>
      <c r="F3" s="317">
        <v>6</v>
      </c>
      <c r="G3" s="40">
        <v>77</v>
      </c>
      <c r="H3" s="38" t="s">
        <v>14</v>
      </c>
      <c r="I3" s="41" t="s">
        <v>15</v>
      </c>
      <c r="J3" s="40"/>
      <c r="K3" s="38" t="s">
        <v>16</v>
      </c>
      <c r="L3" s="40"/>
      <c r="M3" s="242"/>
      <c r="N3" s="43"/>
      <c r="O3" s="267"/>
      <c r="P3" s="343" t="s">
        <v>31</v>
      </c>
      <c r="Q3" s="13"/>
    </row>
    <row r="4" spans="1:17" ht="19.5" customHeight="1" thickBot="1" x14ac:dyDescent="0.35">
      <c r="A4" s="32"/>
      <c r="B4" s="45">
        <v>2026</v>
      </c>
      <c r="C4" s="46">
        <v>3</v>
      </c>
      <c r="D4" s="47">
        <v>308</v>
      </c>
      <c r="E4" s="48">
        <v>46049</v>
      </c>
      <c r="F4" s="53">
        <v>7</v>
      </c>
      <c r="G4" s="49">
        <v>68</v>
      </c>
      <c r="H4" s="50" t="s">
        <v>14</v>
      </c>
      <c r="I4" s="51" t="s">
        <v>15</v>
      </c>
      <c r="J4" s="49"/>
      <c r="K4" s="47" t="s">
        <v>16</v>
      </c>
      <c r="L4" s="49"/>
      <c r="M4" s="243"/>
      <c r="N4" s="53"/>
      <c r="O4" s="268"/>
      <c r="P4" s="343"/>
      <c r="Q4" s="13"/>
    </row>
    <row r="5" spans="1:17" ht="19.5" customHeight="1" thickBot="1" x14ac:dyDescent="0.35">
      <c r="A5" s="32"/>
      <c r="B5" s="45">
        <v>2026</v>
      </c>
      <c r="C5" s="46">
        <v>3</v>
      </c>
      <c r="D5" s="45">
        <v>311</v>
      </c>
      <c r="E5" s="55">
        <v>46049</v>
      </c>
      <c r="F5" s="60">
        <v>7.4</v>
      </c>
      <c r="G5" s="56">
        <v>78</v>
      </c>
      <c r="H5" s="57" t="s">
        <v>14</v>
      </c>
      <c r="I5" s="58" t="s">
        <v>15</v>
      </c>
      <c r="J5" s="56"/>
      <c r="K5" s="45" t="s">
        <v>16</v>
      </c>
      <c r="L5" s="56"/>
      <c r="M5" s="244"/>
      <c r="N5" s="60"/>
      <c r="O5" s="269"/>
      <c r="P5" s="343"/>
      <c r="Q5" s="13"/>
    </row>
    <row r="6" spans="1:17" ht="19.5" customHeight="1" thickBot="1" x14ac:dyDescent="0.35">
      <c r="A6" s="32"/>
      <c r="B6" s="45">
        <v>2026</v>
      </c>
      <c r="C6" s="46">
        <v>3</v>
      </c>
      <c r="D6" s="45">
        <v>315</v>
      </c>
      <c r="E6" s="55">
        <v>46049</v>
      </c>
      <c r="F6" s="60">
        <v>9.1999999999999993</v>
      </c>
      <c r="G6" s="56">
        <v>59</v>
      </c>
      <c r="H6" s="57" t="s">
        <v>14</v>
      </c>
      <c r="I6" s="58" t="s">
        <v>15</v>
      </c>
      <c r="J6" s="56"/>
      <c r="K6" s="45" t="s">
        <v>16</v>
      </c>
      <c r="L6" s="56"/>
      <c r="M6" s="244"/>
      <c r="N6" s="60"/>
      <c r="O6" s="269"/>
      <c r="P6" s="343"/>
      <c r="Q6" s="13"/>
    </row>
    <row r="7" spans="1:17" ht="19.5" customHeight="1" thickBot="1" x14ac:dyDescent="0.35">
      <c r="A7" s="32"/>
      <c r="B7" s="45">
        <v>2026</v>
      </c>
      <c r="C7" s="46">
        <v>3</v>
      </c>
      <c r="D7" s="45">
        <v>322</v>
      </c>
      <c r="E7" s="55">
        <v>46049</v>
      </c>
      <c r="F7" s="60">
        <v>74.900000000000006</v>
      </c>
      <c r="G7" s="56">
        <v>17</v>
      </c>
      <c r="H7" s="57" t="s">
        <v>14</v>
      </c>
      <c r="I7" s="58" t="s">
        <v>15</v>
      </c>
      <c r="J7" s="56"/>
      <c r="K7" s="45" t="s">
        <v>16</v>
      </c>
      <c r="L7" s="56"/>
      <c r="M7" s="244"/>
      <c r="N7" s="60"/>
      <c r="O7" s="269"/>
      <c r="P7" s="343"/>
      <c r="Q7" s="13"/>
    </row>
    <row r="8" spans="1:17" ht="19.5" customHeight="1" thickBot="1" x14ac:dyDescent="0.35">
      <c r="A8" s="32"/>
      <c r="B8" s="45">
        <v>2026</v>
      </c>
      <c r="C8" s="46">
        <v>3</v>
      </c>
      <c r="D8" s="45">
        <v>323</v>
      </c>
      <c r="E8" s="55">
        <v>46048</v>
      </c>
      <c r="F8" s="60"/>
      <c r="G8" s="56">
        <v>32</v>
      </c>
      <c r="H8" s="57" t="s">
        <v>14</v>
      </c>
      <c r="I8" s="58" t="s">
        <v>24</v>
      </c>
      <c r="J8" s="56">
        <v>2</v>
      </c>
      <c r="K8" s="45" t="s">
        <v>16</v>
      </c>
      <c r="L8" s="56">
        <v>7</v>
      </c>
      <c r="M8" s="244">
        <v>7</v>
      </c>
      <c r="N8" s="60">
        <v>7</v>
      </c>
      <c r="O8" s="269">
        <v>2</v>
      </c>
      <c r="P8" s="343"/>
      <c r="Q8" s="13"/>
    </row>
    <row r="9" spans="1:17" ht="19.5" customHeight="1" thickBot="1" x14ac:dyDescent="0.35">
      <c r="A9" s="32"/>
      <c r="B9" s="45">
        <v>2026</v>
      </c>
      <c r="C9" s="46">
        <v>3</v>
      </c>
      <c r="D9" s="45">
        <v>327</v>
      </c>
      <c r="E9" s="55">
        <v>46049</v>
      </c>
      <c r="F9" s="60">
        <v>9.9</v>
      </c>
      <c r="G9" s="56">
        <v>66</v>
      </c>
      <c r="H9" s="57" t="s">
        <v>14</v>
      </c>
      <c r="I9" s="58" t="s">
        <v>24</v>
      </c>
      <c r="J9" s="56">
        <v>3</v>
      </c>
      <c r="K9" s="45" t="s">
        <v>16</v>
      </c>
      <c r="L9" s="56">
        <v>7</v>
      </c>
      <c r="M9" s="244">
        <v>77</v>
      </c>
      <c r="N9" s="60">
        <v>30.6666666666667</v>
      </c>
      <c r="O9" s="269"/>
      <c r="P9" s="343"/>
      <c r="Q9" s="13"/>
    </row>
    <row r="10" spans="1:17" ht="19.5" customHeight="1" thickBot="1" x14ac:dyDescent="0.35">
      <c r="A10" s="32"/>
      <c r="B10" s="45">
        <v>2026</v>
      </c>
      <c r="C10" s="46">
        <v>3</v>
      </c>
      <c r="D10" s="45">
        <v>328</v>
      </c>
      <c r="E10" s="55">
        <v>46049</v>
      </c>
      <c r="F10" s="60">
        <v>10.1</v>
      </c>
      <c r="G10" s="56">
        <v>58</v>
      </c>
      <c r="H10" s="57" t="s">
        <v>14</v>
      </c>
      <c r="I10" s="58" t="s">
        <v>24</v>
      </c>
      <c r="J10" s="56">
        <v>10</v>
      </c>
      <c r="K10" s="45" t="s">
        <v>16</v>
      </c>
      <c r="L10" s="56">
        <v>6</v>
      </c>
      <c r="M10" s="244">
        <v>9</v>
      </c>
      <c r="N10" s="60">
        <v>7.6</v>
      </c>
      <c r="O10" s="269">
        <v>5</v>
      </c>
      <c r="P10" s="343"/>
      <c r="Q10" s="13"/>
    </row>
    <row r="11" spans="1:17" ht="19.5" customHeight="1" thickBot="1" x14ac:dyDescent="0.35">
      <c r="A11" s="32"/>
      <c r="B11" s="45">
        <v>2026</v>
      </c>
      <c r="C11" s="46">
        <v>3</v>
      </c>
      <c r="D11" s="45">
        <v>329</v>
      </c>
      <c r="E11" s="55">
        <v>46049</v>
      </c>
      <c r="F11" s="60">
        <v>12.4</v>
      </c>
      <c r="G11" s="56">
        <v>51</v>
      </c>
      <c r="H11" s="57" t="s">
        <v>14</v>
      </c>
      <c r="I11" s="58" t="s">
        <v>24</v>
      </c>
      <c r="J11" s="56">
        <v>9</v>
      </c>
      <c r="K11" s="45" t="s">
        <v>16</v>
      </c>
      <c r="L11" s="56">
        <v>7</v>
      </c>
      <c r="M11" s="244">
        <v>9</v>
      </c>
      <c r="N11" s="60">
        <v>8</v>
      </c>
      <c r="O11" s="269">
        <v>4</v>
      </c>
      <c r="P11" s="343"/>
      <c r="Q11" s="13"/>
    </row>
    <row r="12" spans="1:17" ht="19.5" customHeight="1" thickBot="1" x14ac:dyDescent="0.35">
      <c r="A12" s="32"/>
      <c r="B12" s="45">
        <v>2026</v>
      </c>
      <c r="C12" s="46">
        <v>3</v>
      </c>
      <c r="D12" s="45">
        <v>330</v>
      </c>
      <c r="E12" s="55">
        <v>46049</v>
      </c>
      <c r="F12" s="60">
        <v>18.399999999999999</v>
      </c>
      <c r="G12" s="56">
        <v>38</v>
      </c>
      <c r="H12" s="57" t="s">
        <v>14</v>
      </c>
      <c r="I12" s="58" t="s">
        <v>24</v>
      </c>
      <c r="J12" s="56">
        <v>1</v>
      </c>
      <c r="K12" s="45" t="s">
        <v>16</v>
      </c>
      <c r="L12" s="56">
        <v>8</v>
      </c>
      <c r="M12" s="244">
        <v>8</v>
      </c>
      <c r="N12" s="60">
        <v>8</v>
      </c>
      <c r="O12" s="269">
        <v>0</v>
      </c>
      <c r="P12" s="343"/>
      <c r="Q12" s="13"/>
    </row>
    <row r="13" spans="1:17" ht="19.5" customHeight="1" thickBot="1" x14ac:dyDescent="0.35">
      <c r="A13" s="32"/>
      <c r="B13" s="45">
        <v>2026</v>
      </c>
      <c r="C13" s="46">
        <v>3</v>
      </c>
      <c r="D13" s="45">
        <v>335</v>
      </c>
      <c r="E13" s="55">
        <v>46049</v>
      </c>
      <c r="F13" s="60">
        <v>12.2</v>
      </c>
      <c r="G13" s="56">
        <v>49</v>
      </c>
      <c r="H13" s="57" t="s">
        <v>14</v>
      </c>
      <c r="I13" s="58" t="s">
        <v>24</v>
      </c>
      <c r="J13" s="56">
        <v>6</v>
      </c>
      <c r="K13" s="45" t="s">
        <v>16</v>
      </c>
      <c r="L13" s="56">
        <v>7</v>
      </c>
      <c r="M13" s="244">
        <v>9</v>
      </c>
      <c r="N13" s="60">
        <v>8</v>
      </c>
      <c r="O13" s="269">
        <v>4</v>
      </c>
      <c r="P13" s="343"/>
      <c r="Q13" s="13"/>
    </row>
    <row r="14" spans="1:17" ht="19.5" customHeight="1" thickBot="1" x14ac:dyDescent="0.35">
      <c r="A14" s="32"/>
      <c r="B14" s="45">
        <v>2026</v>
      </c>
      <c r="C14" s="46">
        <v>3</v>
      </c>
      <c r="D14" s="45">
        <v>336</v>
      </c>
      <c r="E14" s="55">
        <v>46048</v>
      </c>
      <c r="F14" s="60"/>
      <c r="G14" s="56">
        <v>28</v>
      </c>
      <c r="H14" s="57" t="s">
        <v>14</v>
      </c>
      <c r="I14" s="58" t="s">
        <v>24</v>
      </c>
      <c r="J14" s="56">
        <v>19</v>
      </c>
      <c r="K14" s="45" t="s">
        <v>16</v>
      </c>
      <c r="L14" s="56">
        <v>6</v>
      </c>
      <c r="M14" s="244">
        <v>10</v>
      </c>
      <c r="N14" s="60">
        <v>7.5789473684210504</v>
      </c>
      <c r="O14" s="269">
        <v>11</v>
      </c>
      <c r="P14" s="343"/>
      <c r="Q14" s="13"/>
    </row>
    <row r="15" spans="1:17" ht="19.5" customHeight="1" thickBot="1" x14ac:dyDescent="0.35">
      <c r="A15" s="32"/>
      <c r="B15" s="62">
        <v>2026</v>
      </c>
      <c r="C15" s="46">
        <v>3</v>
      </c>
      <c r="D15" s="62">
        <v>338</v>
      </c>
      <c r="E15" s="63">
        <v>46048</v>
      </c>
      <c r="F15" s="67"/>
      <c r="G15" s="64">
        <v>27</v>
      </c>
      <c r="H15" s="57" t="s">
        <v>14</v>
      </c>
      <c r="I15" s="65" t="s">
        <v>24</v>
      </c>
      <c r="J15" s="64">
        <v>34</v>
      </c>
      <c r="K15" s="62" t="s">
        <v>16</v>
      </c>
      <c r="L15" s="64">
        <v>6</v>
      </c>
      <c r="M15" s="245">
        <v>10</v>
      </c>
      <c r="N15" s="67">
        <v>7.6764705882352899</v>
      </c>
      <c r="O15" s="270">
        <v>15</v>
      </c>
      <c r="P15" s="343"/>
      <c r="Q15" s="13"/>
    </row>
    <row r="16" spans="1:17" ht="19.5" customHeight="1" x14ac:dyDescent="0.3">
      <c r="A16" s="32"/>
      <c r="B16" s="69">
        <v>2026</v>
      </c>
      <c r="C16" s="70">
        <v>3</v>
      </c>
      <c r="D16" s="69">
        <v>340</v>
      </c>
      <c r="E16" s="71">
        <v>46048</v>
      </c>
      <c r="F16" s="318"/>
      <c r="G16" s="72">
        <v>31</v>
      </c>
      <c r="H16" s="69" t="s">
        <v>14</v>
      </c>
      <c r="I16" s="73" t="s">
        <v>24</v>
      </c>
      <c r="J16" s="73">
        <v>10</v>
      </c>
      <c r="K16" s="69" t="s">
        <v>16</v>
      </c>
      <c r="L16" s="73">
        <v>7</v>
      </c>
      <c r="M16" s="246">
        <v>8</v>
      </c>
      <c r="N16" s="75">
        <v>7.5</v>
      </c>
      <c r="O16" s="271">
        <v>8</v>
      </c>
      <c r="P16" s="344" t="s">
        <v>12</v>
      </c>
      <c r="Q16" s="13"/>
    </row>
    <row r="17" spans="1:17" ht="19.5" customHeight="1" x14ac:dyDescent="0.3">
      <c r="A17" s="32"/>
      <c r="B17" s="77">
        <v>2026</v>
      </c>
      <c r="C17" s="77">
        <v>3</v>
      </c>
      <c r="D17" s="78">
        <v>342</v>
      </c>
      <c r="E17" s="79">
        <v>46050</v>
      </c>
      <c r="F17" s="319">
        <v>4.5</v>
      </c>
      <c r="G17" s="80">
        <v>39</v>
      </c>
      <c r="H17" s="78" t="s">
        <v>14</v>
      </c>
      <c r="I17" s="81" t="s">
        <v>24</v>
      </c>
      <c r="J17" s="81">
        <v>31</v>
      </c>
      <c r="K17" s="78" t="s">
        <v>16</v>
      </c>
      <c r="L17" s="81">
        <v>7</v>
      </c>
      <c r="M17" s="247">
        <v>10</v>
      </c>
      <c r="N17" s="83">
        <v>7.9032258064516103</v>
      </c>
      <c r="O17" s="272">
        <v>16</v>
      </c>
      <c r="P17" s="345"/>
      <c r="Q17" s="13"/>
    </row>
    <row r="18" spans="1:17" ht="19.5" customHeight="1" x14ac:dyDescent="0.3">
      <c r="A18" s="32"/>
      <c r="B18" s="77">
        <v>2026</v>
      </c>
      <c r="C18" s="77">
        <v>3</v>
      </c>
      <c r="D18" s="78">
        <v>343</v>
      </c>
      <c r="E18" s="79">
        <v>46050</v>
      </c>
      <c r="F18" s="319">
        <v>14.5</v>
      </c>
      <c r="G18" s="80">
        <v>35</v>
      </c>
      <c r="H18" s="78" t="s">
        <v>14</v>
      </c>
      <c r="I18" s="81" t="s">
        <v>24</v>
      </c>
      <c r="J18" s="81">
        <v>46</v>
      </c>
      <c r="K18" s="78" t="s">
        <v>16</v>
      </c>
      <c r="L18" s="81">
        <v>7</v>
      </c>
      <c r="M18" s="247">
        <v>11</v>
      </c>
      <c r="N18" s="83">
        <v>8.1521739130434803</v>
      </c>
      <c r="O18" s="272">
        <v>22</v>
      </c>
      <c r="P18" s="345"/>
      <c r="Q18" s="13"/>
    </row>
    <row r="19" spans="1:17" ht="19.5" customHeight="1" x14ac:dyDescent="0.3">
      <c r="A19" s="32"/>
      <c r="B19" s="77">
        <v>2026</v>
      </c>
      <c r="C19" s="77">
        <v>3</v>
      </c>
      <c r="D19" s="78">
        <v>344</v>
      </c>
      <c r="E19" s="79">
        <v>46050</v>
      </c>
      <c r="F19" s="319">
        <v>14.2</v>
      </c>
      <c r="G19" s="80">
        <v>36</v>
      </c>
      <c r="H19" s="78" t="s">
        <v>14</v>
      </c>
      <c r="I19" s="81" t="s">
        <v>24</v>
      </c>
      <c r="J19" s="81">
        <v>123</v>
      </c>
      <c r="K19" s="78" t="s">
        <v>16</v>
      </c>
      <c r="L19" s="81">
        <v>7</v>
      </c>
      <c r="M19" s="247">
        <v>12</v>
      </c>
      <c r="N19" s="83">
        <v>8.85</v>
      </c>
      <c r="O19" s="272">
        <v>43</v>
      </c>
      <c r="P19" s="345"/>
      <c r="Q19" s="13"/>
    </row>
    <row r="20" spans="1:17" ht="19.5" customHeight="1" x14ac:dyDescent="0.3">
      <c r="A20" s="32"/>
      <c r="B20" s="77">
        <v>2026</v>
      </c>
      <c r="C20" s="77">
        <v>3</v>
      </c>
      <c r="D20" s="78">
        <v>345</v>
      </c>
      <c r="E20" s="79">
        <v>46050</v>
      </c>
      <c r="F20" s="319">
        <v>15.9</v>
      </c>
      <c r="G20" s="80">
        <v>32</v>
      </c>
      <c r="H20" s="78" t="s">
        <v>14</v>
      </c>
      <c r="I20" s="81" t="s">
        <v>24</v>
      </c>
      <c r="J20" s="81">
        <v>105</v>
      </c>
      <c r="K20" s="78" t="s">
        <v>16</v>
      </c>
      <c r="L20" s="81">
        <v>7</v>
      </c>
      <c r="M20" s="247">
        <v>13</v>
      </c>
      <c r="N20" s="83">
        <v>9.26</v>
      </c>
      <c r="O20" s="272">
        <v>20</v>
      </c>
      <c r="P20" s="345"/>
      <c r="Q20" s="13"/>
    </row>
    <row r="21" spans="1:17" ht="19.5" customHeight="1" x14ac:dyDescent="0.3">
      <c r="A21" s="32"/>
      <c r="B21" s="85">
        <v>2026</v>
      </c>
      <c r="C21" s="85">
        <v>3</v>
      </c>
      <c r="D21" s="86">
        <v>346</v>
      </c>
      <c r="E21" s="79">
        <v>46050</v>
      </c>
      <c r="F21" s="319">
        <v>15.9</v>
      </c>
      <c r="G21" s="80">
        <v>29</v>
      </c>
      <c r="H21" s="78" t="s">
        <v>14</v>
      </c>
      <c r="I21" s="81" t="s">
        <v>24</v>
      </c>
      <c r="J21" s="81">
        <v>236</v>
      </c>
      <c r="K21" s="78" t="s">
        <v>16</v>
      </c>
      <c r="L21" s="81">
        <v>7</v>
      </c>
      <c r="M21" s="247">
        <v>12</v>
      </c>
      <c r="N21" s="83">
        <v>9.92</v>
      </c>
      <c r="O21" s="272">
        <v>14</v>
      </c>
      <c r="P21" s="345"/>
      <c r="Q21" s="13"/>
    </row>
    <row r="22" spans="1:17" ht="19.5" customHeight="1" x14ac:dyDescent="0.3">
      <c r="A22" s="32"/>
      <c r="B22" s="87">
        <v>2026</v>
      </c>
      <c r="C22" s="77">
        <v>3</v>
      </c>
      <c r="D22" s="78">
        <v>347</v>
      </c>
      <c r="E22" s="88">
        <v>46050</v>
      </c>
      <c r="F22" s="320">
        <v>8.5</v>
      </c>
      <c r="G22" s="80">
        <v>44</v>
      </c>
      <c r="H22" s="78" t="s">
        <v>14</v>
      </c>
      <c r="I22" s="81" t="s">
        <v>24</v>
      </c>
      <c r="J22" s="81">
        <v>249</v>
      </c>
      <c r="K22" s="78" t="s">
        <v>16</v>
      </c>
      <c r="L22" s="81">
        <v>8</v>
      </c>
      <c r="M22" s="247">
        <v>13</v>
      </c>
      <c r="N22" s="83">
        <v>9.7200000000000006</v>
      </c>
      <c r="O22" s="272">
        <v>51</v>
      </c>
      <c r="P22" s="345"/>
      <c r="Q22" s="13"/>
    </row>
    <row r="23" spans="1:17" ht="19.5" customHeight="1" x14ac:dyDescent="0.3">
      <c r="A23" s="32"/>
      <c r="B23" s="77">
        <v>2026</v>
      </c>
      <c r="C23" s="89">
        <v>3</v>
      </c>
      <c r="D23" s="90">
        <v>348</v>
      </c>
      <c r="E23" s="79">
        <v>46050</v>
      </c>
      <c r="F23" s="319">
        <v>7</v>
      </c>
      <c r="G23" s="80">
        <v>56</v>
      </c>
      <c r="H23" s="78" t="s">
        <v>14</v>
      </c>
      <c r="I23" s="81" t="s">
        <v>24</v>
      </c>
      <c r="J23" s="81">
        <v>118</v>
      </c>
      <c r="K23" s="78" t="s">
        <v>16</v>
      </c>
      <c r="L23" s="81">
        <v>7</v>
      </c>
      <c r="M23" s="247">
        <v>12</v>
      </c>
      <c r="N23" s="91">
        <v>9.9101123595505598</v>
      </c>
      <c r="O23" s="273">
        <v>15</v>
      </c>
      <c r="P23" s="345"/>
      <c r="Q23" s="13"/>
    </row>
    <row r="24" spans="1:17" ht="19.5" customHeight="1" thickBot="1" x14ac:dyDescent="0.35">
      <c r="A24" s="32"/>
      <c r="B24" s="93">
        <v>2026</v>
      </c>
      <c r="C24" s="85">
        <v>3</v>
      </c>
      <c r="D24" s="94">
        <v>349</v>
      </c>
      <c r="E24" s="95">
        <v>45685</v>
      </c>
      <c r="F24" s="321">
        <v>4.7</v>
      </c>
      <c r="G24" s="96">
        <v>84</v>
      </c>
      <c r="H24" s="94" t="s">
        <v>14</v>
      </c>
      <c r="I24" s="97" t="s">
        <v>24</v>
      </c>
      <c r="J24" s="97">
        <v>28</v>
      </c>
      <c r="K24" s="94" t="s">
        <v>16</v>
      </c>
      <c r="L24" s="97">
        <v>8</v>
      </c>
      <c r="M24" s="248">
        <v>11</v>
      </c>
      <c r="N24" s="99">
        <v>9.78571428571429</v>
      </c>
      <c r="O24" s="274">
        <v>0</v>
      </c>
      <c r="P24" s="346"/>
      <c r="Q24" s="13"/>
    </row>
    <row r="25" spans="1:17" ht="19.5" customHeight="1" thickBot="1" x14ac:dyDescent="0.35">
      <c r="A25" s="32"/>
      <c r="B25" s="101">
        <v>2026</v>
      </c>
      <c r="C25" s="102">
        <v>3</v>
      </c>
      <c r="D25" s="101">
        <v>401</v>
      </c>
      <c r="E25" s="103">
        <v>46048</v>
      </c>
      <c r="F25" s="322"/>
      <c r="G25" s="104">
        <v>38</v>
      </c>
      <c r="H25" s="101" t="s">
        <v>14</v>
      </c>
      <c r="I25" s="105" t="s">
        <v>24</v>
      </c>
      <c r="J25" s="105">
        <v>30</v>
      </c>
      <c r="K25" s="101" t="s">
        <v>16</v>
      </c>
      <c r="L25" s="105">
        <v>6</v>
      </c>
      <c r="M25" s="249">
        <v>12</v>
      </c>
      <c r="N25" s="107">
        <v>8.06666666666667</v>
      </c>
      <c r="O25" s="275">
        <v>21</v>
      </c>
      <c r="P25" s="347" t="s">
        <v>32</v>
      </c>
      <c r="Q25" s="13"/>
    </row>
    <row r="26" spans="1:17" ht="19.5" customHeight="1" thickBot="1" x14ac:dyDescent="0.35">
      <c r="A26" s="32"/>
      <c r="B26" s="101">
        <v>2026</v>
      </c>
      <c r="C26" s="109">
        <v>3</v>
      </c>
      <c r="D26" s="110">
        <v>404</v>
      </c>
      <c r="E26" s="111">
        <v>46048</v>
      </c>
      <c r="F26" s="322">
        <v>29.6</v>
      </c>
      <c r="G26" s="104">
        <v>26</v>
      </c>
      <c r="H26" s="110" t="s">
        <v>14</v>
      </c>
      <c r="I26" s="112" t="s">
        <v>24</v>
      </c>
      <c r="J26" s="112">
        <v>35</v>
      </c>
      <c r="K26" s="110" t="s">
        <v>16</v>
      </c>
      <c r="L26" s="112">
        <v>6</v>
      </c>
      <c r="M26" s="250">
        <v>10</v>
      </c>
      <c r="N26" s="114">
        <v>8</v>
      </c>
      <c r="O26" s="276">
        <v>22</v>
      </c>
      <c r="P26" s="347"/>
      <c r="Q26" s="13"/>
    </row>
    <row r="27" spans="1:17" ht="19.5" customHeight="1" thickBot="1" x14ac:dyDescent="0.35">
      <c r="A27" s="32"/>
      <c r="B27" s="116">
        <v>2026</v>
      </c>
      <c r="C27" s="116">
        <v>3</v>
      </c>
      <c r="D27" s="117">
        <v>405</v>
      </c>
      <c r="E27" s="118">
        <v>46048</v>
      </c>
      <c r="F27" s="121">
        <v>32.5</v>
      </c>
      <c r="G27" s="119">
        <v>20</v>
      </c>
      <c r="H27" s="117" t="s">
        <v>14</v>
      </c>
      <c r="I27" s="119" t="s">
        <v>24</v>
      </c>
      <c r="J27" s="119">
        <v>13</v>
      </c>
      <c r="K27" s="117" t="s">
        <v>16</v>
      </c>
      <c r="L27" s="119">
        <v>7</v>
      </c>
      <c r="M27" s="251">
        <v>9</v>
      </c>
      <c r="N27" s="121">
        <v>7.9230769230769198</v>
      </c>
      <c r="O27" s="277">
        <v>12</v>
      </c>
      <c r="P27" s="347"/>
      <c r="Q27" s="13"/>
    </row>
    <row r="28" spans="1:17" ht="19.5" customHeight="1" thickBot="1" x14ac:dyDescent="0.35">
      <c r="A28" s="32"/>
      <c r="B28" s="123">
        <v>2026</v>
      </c>
      <c r="C28" s="123">
        <v>3</v>
      </c>
      <c r="D28" s="124">
        <v>411</v>
      </c>
      <c r="E28" s="125">
        <v>46048</v>
      </c>
      <c r="F28" s="128"/>
      <c r="G28" s="126">
        <v>42</v>
      </c>
      <c r="H28" s="124" t="s">
        <v>14</v>
      </c>
      <c r="I28" s="126" t="s">
        <v>24</v>
      </c>
      <c r="J28" s="126">
        <v>46</v>
      </c>
      <c r="K28" s="124" t="s">
        <v>16</v>
      </c>
      <c r="L28" s="126">
        <v>7</v>
      </c>
      <c r="M28" s="252">
        <v>9</v>
      </c>
      <c r="N28" s="128">
        <v>7.9130434782608701</v>
      </c>
      <c r="O28" s="278">
        <v>33</v>
      </c>
      <c r="P28" s="348" t="s">
        <v>33</v>
      </c>
      <c r="Q28" s="13"/>
    </row>
    <row r="29" spans="1:17" ht="19.5" customHeight="1" thickBot="1" x14ac:dyDescent="0.35">
      <c r="A29" s="32"/>
      <c r="B29" s="130">
        <v>2026</v>
      </c>
      <c r="C29" s="130">
        <v>3</v>
      </c>
      <c r="D29" s="131" t="s">
        <v>36</v>
      </c>
      <c r="E29" s="132">
        <v>46048</v>
      </c>
      <c r="F29" s="135"/>
      <c r="G29" s="133">
        <v>33</v>
      </c>
      <c r="H29" s="131" t="s">
        <v>14</v>
      </c>
      <c r="I29" s="133" t="s">
        <v>24</v>
      </c>
      <c r="J29" s="133">
        <v>24</v>
      </c>
      <c r="K29" s="131" t="s">
        <v>16</v>
      </c>
      <c r="L29" s="133">
        <v>6</v>
      </c>
      <c r="M29" s="253">
        <v>9</v>
      </c>
      <c r="N29" s="135">
        <v>7.0833333333333304</v>
      </c>
      <c r="O29" s="279">
        <v>17</v>
      </c>
      <c r="P29" s="348"/>
      <c r="Q29" s="13"/>
    </row>
    <row r="30" spans="1:17" ht="19.5" customHeight="1" thickBot="1" x14ac:dyDescent="0.35">
      <c r="A30" s="32"/>
      <c r="B30" s="130">
        <v>2026</v>
      </c>
      <c r="C30" s="130">
        <v>3</v>
      </c>
      <c r="D30" s="131">
        <v>501</v>
      </c>
      <c r="E30" s="137">
        <v>46048</v>
      </c>
      <c r="F30" s="323">
        <v>33</v>
      </c>
      <c r="G30" s="138">
        <v>38</v>
      </c>
      <c r="H30" s="131" t="s">
        <v>14</v>
      </c>
      <c r="I30" s="133" t="s">
        <v>24</v>
      </c>
      <c r="J30" s="133">
        <v>58</v>
      </c>
      <c r="K30" s="131" t="s">
        <v>16</v>
      </c>
      <c r="L30" s="133">
        <v>6</v>
      </c>
      <c r="M30" s="253">
        <v>9</v>
      </c>
      <c r="N30" s="135">
        <v>7.1071428571428603</v>
      </c>
      <c r="O30" s="279">
        <v>49</v>
      </c>
      <c r="P30" s="348"/>
      <c r="Q30" s="13"/>
    </row>
    <row r="31" spans="1:17" ht="19.5" customHeight="1" thickBot="1" x14ac:dyDescent="0.35">
      <c r="A31" s="32"/>
      <c r="B31" s="130">
        <v>2026</v>
      </c>
      <c r="C31" s="130">
        <v>3</v>
      </c>
      <c r="D31" s="131">
        <v>504</v>
      </c>
      <c r="E31" s="132">
        <v>46048</v>
      </c>
      <c r="F31" s="135"/>
      <c r="G31" s="133">
        <v>40</v>
      </c>
      <c r="H31" s="131" t="s">
        <v>14</v>
      </c>
      <c r="I31" s="133" t="s">
        <v>24</v>
      </c>
      <c r="J31" s="133">
        <v>31</v>
      </c>
      <c r="K31" s="131" t="s">
        <v>16</v>
      </c>
      <c r="L31" s="133">
        <v>6</v>
      </c>
      <c r="M31" s="253">
        <v>9</v>
      </c>
      <c r="N31" s="135">
        <v>7.5483870967741904</v>
      </c>
      <c r="O31" s="279">
        <v>26</v>
      </c>
      <c r="P31" s="348"/>
      <c r="Q31" s="13"/>
    </row>
    <row r="32" spans="1:17" ht="19.5" customHeight="1" thickBot="1" x14ac:dyDescent="0.35">
      <c r="A32" s="32"/>
      <c r="B32" s="130">
        <v>2026</v>
      </c>
      <c r="C32" s="130">
        <v>3</v>
      </c>
      <c r="D32" s="131">
        <v>519</v>
      </c>
      <c r="E32" s="132">
        <v>46048</v>
      </c>
      <c r="F32" s="135">
        <v>25.3</v>
      </c>
      <c r="G32" s="133">
        <v>29</v>
      </c>
      <c r="H32" s="131" t="s">
        <v>14</v>
      </c>
      <c r="I32" s="133" t="s">
        <v>24</v>
      </c>
      <c r="J32" s="133">
        <v>32</v>
      </c>
      <c r="K32" s="131" t="s">
        <v>16</v>
      </c>
      <c r="L32" s="133">
        <v>6</v>
      </c>
      <c r="M32" s="253">
        <v>7</v>
      </c>
      <c r="N32" s="135">
        <v>6.7</v>
      </c>
      <c r="O32" s="279">
        <v>13</v>
      </c>
      <c r="P32" s="348"/>
      <c r="Q32" s="13"/>
    </row>
    <row r="33" spans="1:17" ht="19.5" customHeight="1" thickBot="1" x14ac:dyDescent="0.35">
      <c r="A33" s="32"/>
      <c r="B33" s="130">
        <v>2026</v>
      </c>
      <c r="C33" s="130">
        <v>3</v>
      </c>
      <c r="D33" s="131">
        <v>602</v>
      </c>
      <c r="E33" s="137">
        <v>46050</v>
      </c>
      <c r="F33" s="323">
        <v>17.600000000000001</v>
      </c>
      <c r="G33" s="138">
        <v>38</v>
      </c>
      <c r="H33" s="131" t="s">
        <v>14</v>
      </c>
      <c r="I33" s="133" t="s">
        <v>24</v>
      </c>
      <c r="J33" s="133">
        <v>50</v>
      </c>
      <c r="K33" s="131" t="s">
        <v>16</v>
      </c>
      <c r="L33" s="133">
        <v>7</v>
      </c>
      <c r="M33" s="253">
        <v>10</v>
      </c>
      <c r="N33" s="135">
        <v>7.98</v>
      </c>
      <c r="O33" s="279">
        <v>39</v>
      </c>
      <c r="P33" s="348"/>
      <c r="Q33" s="13"/>
    </row>
    <row r="34" spans="1:17" ht="19.5" customHeight="1" thickBot="1" x14ac:dyDescent="0.35">
      <c r="A34" s="32"/>
      <c r="B34" s="130">
        <v>2026</v>
      </c>
      <c r="C34" s="130">
        <v>3</v>
      </c>
      <c r="D34" s="131">
        <v>606</v>
      </c>
      <c r="E34" s="132">
        <v>46050</v>
      </c>
      <c r="F34" s="135">
        <v>26.7</v>
      </c>
      <c r="G34" s="133">
        <v>42</v>
      </c>
      <c r="H34" s="131" t="s">
        <v>14</v>
      </c>
      <c r="I34" s="133" t="s">
        <v>24</v>
      </c>
      <c r="J34" s="133">
        <v>124</v>
      </c>
      <c r="K34" s="131" t="s">
        <v>16</v>
      </c>
      <c r="L34" s="133">
        <v>6</v>
      </c>
      <c r="M34" s="253">
        <v>11</v>
      </c>
      <c r="N34" s="135">
        <v>7.6770833333333304</v>
      </c>
      <c r="O34" s="279">
        <v>76</v>
      </c>
      <c r="P34" s="348"/>
      <c r="Q34" s="13"/>
    </row>
    <row r="35" spans="1:17" ht="19.5" customHeight="1" thickBot="1" x14ac:dyDescent="0.35">
      <c r="A35" s="32"/>
      <c r="B35" s="130">
        <v>2026</v>
      </c>
      <c r="C35" s="130">
        <v>3</v>
      </c>
      <c r="D35" s="131">
        <v>609</v>
      </c>
      <c r="E35" s="132">
        <v>46050</v>
      </c>
      <c r="F35" s="135">
        <v>22.5</v>
      </c>
      <c r="G35" s="133">
        <v>38</v>
      </c>
      <c r="H35" s="131" t="s">
        <v>14</v>
      </c>
      <c r="I35" s="133" t="s">
        <v>24</v>
      </c>
      <c r="J35" s="133">
        <v>5</v>
      </c>
      <c r="K35" s="131" t="s">
        <v>16</v>
      </c>
      <c r="L35" s="133">
        <v>6</v>
      </c>
      <c r="M35" s="253">
        <v>6</v>
      </c>
      <c r="N35" s="135">
        <v>6</v>
      </c>
      <c r="O35" s="279">
        <v>2</v>
      </c>
      <c r="P35" s="348"/>
      <c r="Q35" s="13"/>
    </row>
    <row r="36" spans="1:17" ht="19.5" customHeight="1" thickBot="1" x14ac:dyDescent="0.35">
      <c r="A36" s="32"/>
      <c r="B36" s="139">
        <v>2026</v>
      </c>
      <c r="C36" s="140">
        <v>3</v>
      </c>
      <c r="D36" s="141">
        <v>610</v>
      </c>
      <c r="E36" s="142">
        <v>46050</v>
      </c>
      <c r="F36" s="324">
        <v>12.5</v>
      </c>
      <c r="G36" s="143">
        <v>72</v>
      </c>
      <c r="H36" s="141" t="s">
        <v>14</v>
      </c>
      <c r="I36" s="144" t="s">
        <v>24</v>
      </c>
      <c r="J36" s="144">
        <v>11</v>
      </c>
      <c r="K36" s="141" t="s">
        <v>16</v>
      </c>
      <c r="L36" s="144">
        <v>6</v>
      </c>
      <c r="M36" s="254">
        <v>7</v>
      </c>
      <c r="N36" s="146">
        <v>6.875</v>
      </c>
      <c r="O36" s="280">
        <v>3</v>
      </c>
      <c r="P36" s="348"/>
      <c r="Q36" s="13"/>
    </row>
    <row r="37" spans="1:17" ht="19.5" customHeight="1" thickBot="1" x14ac:dyDescent="0.35">
      <c r="A37" s="32"/>
      <c r="B37" s="148">
        <v>2026</v>
      </c>
      <c r="C37" s="149">
        <v>3</v>
      </c>
      <c r="D37" s="150">
        <v>508</v>
      </c>
      <c r="E37" s="151">
        <v>46048</v>
      </c>
      <c r="F37" s="325">
        <v>21.5</v>
      </c>
      <c r="G37" s="152">
        <v>35</v>
      </c>
      <c r="H37" s="153" t="s">
        <v>14</v>
      </c>
      <c r="I37" s="153" t="s">
        <v>24</v>
      </c>
      <c r="J37" s="153">
        <v>38</v>
      </c>
      <c r="K37" s="150" t="s">
        <v>16</v>
      </c>
      <c r="L37" s="153">
        <v>6</v>
      </c>
      <c r="M37" s="255">
        <v>8</v>
      </c>
      <c r="N37" s="155">
        <v>6.6</v>
      </c>
      <c r="O37" s="281">
        <v>33</v>
      </c>
      <c r="P37" s="349" t="s">
        <v>13</v>
      </c>
      <c r="Q37" s="13"/>
    </row>
    <row r="38" spans="1:17" ht="19.5" customHeight="1" thickBot="1" x14ac:dyDescent="0.35">
      <c r="A38" s="32"/>
      <c r="B38" s="157">
        <v>2026</v>
      </c>
      <c r="C38" s="149">
        <v>3</v>
      </c>
      <c r="D38" s="158">
        <v>513</v>
      </c>
      <c r="E38" s="159">
        <v>46048</v>
      </c>
      <c r="F38" s="326">
        <v>16.8</v>
      </c>
      <c r="G38" s="160">
        <v>53</v>
      </c>
      <c r="H38" s="161" t="s">
        <v>14</v>
      </c>
      <c r="I38" s="161" t="s">
        <v>24</v>
      </c>
      <c r="J38" s="161">
        <v>48</v>
      </c>
      <c r="K38" s="158" t="s">
        <v>16</v>
      </c>
      <c r="L38" s="161">
        <v>5</v>
      </c>
      <c r="M38" s="256">
        <v>81</v>
      </c>
      <c r="N38" s="163">
        <v>8.4166666666666696</v>
      </c>
      <c r="O38" s="282">
        <v>26</v>
      </c>
      <c r="P38" s="349"/>
      <c r="Q38" s="13"/>
    </row>
    <row r="39" spans="1:17" ht="19.5" customHeight="1" thickBot="1" x14ac:dyDescent="0.35">
      <c r="A39" s="32"/>
      <c r="B39" s="157">
        <v>2026</v>
      </c>
      <c r="C39" s="149">
        <v>3</v>
      </c>
      <c r="D39" s="158">
        <v>520</v>
      </c>
      <c r="E39" s="159">
        <v>46048</v>
      </c>
      <c r="F39" s="326">
        <v>13.7</v>
      </c>
      <c r="G39" s="160">
        <v>52</v>
      </c>
      <c r="H39" s="161" t="s">
        <v>14</v>
      </c>
      <c r="I39" s="161" t="s">
        <v>24</v>
      </c>
      <c r="J39" s="161">
        <v>13</v>
      </c>
      <c r="K39" s="158" t="s">
        <v>16</v>
      </c>
      <c r="L39" s="161">
        <v>6</v>
      </c>
      <c r="M39" s="256">
        <v>7</v>
      </c>
      <c r="N39" s="163">
        <v>6.7</v>
      </c>
      <c r="O39" s="282">
        <v>6</v>
      </c>
      <c r="P39" s="349"/>
      <c r="Q39" s="13"/>
    </row>
    <row r="40" spans="1:17" ht="19.5" customHeight="1" thickBot="1" x14ac:dyDescent="0.35">
      <c r="A40" s="32"/>
      <c r="B40" s="157">
        <v>2026</v>
      </c>
      <c r="C40" s="149">
        <v>3</v>
      </c>
      <c r="D40" s="158">
        <v>801</v>
      </c>
      <c r="E40" s="159">
        <v>46048</v>
      </c>
      <c r="F40" s="326"/>
      <c r="G40" s="160">
        <v>58</v>
      </c>
      <c r="H40" s="161" t="s">
        <v>14</v>
      </c>
      <c r="I40" s="161" t="s">
        <v>24</v>
      </c>
      <c r="J40" s="161">
        <v>16</v>
      </c>
      <c r="K40" s="158" t="s">
        <v>16</v>
      </c>
      <c r="L40" s="161">
        <v>6</v>
      </c>
      <c r="M40" s="256">
        <v>7</v>
      </c>
      <c r="N40" s="163">
        <v>6.4285714285714297</v>
      </c>
      <c r="O40" s="282">
        <v>4</v>
      </c>
      <c r="P40" s="349"/>
      <c r="Q40" s="13"/>
    </row>
    <row r="41" spans="1:17" ht="19.5" customHeight="1" thickBot="1" x14ac:dyDescent="0.35">
      <c r="A41" s="32"/>
      <c r="B41" s="165">
        <v>2026</v>
      </c>
      <c r="C41" s="166">
        <v>3</v>
      </c>
      <c r="D41" s="167">
        <v>804</v>
      </c>
      <c r="E41" s="168">
        <v>46048</v>
      </c>
      <c r="F41" s="327">
        <v>13.3</v>
      </c>
      <c r="G41" s="169">
        <v>64</v>
      </c>
      <c r="H41" s="170" t="s">
        <v>14</v>
      </c>
      <c r="I41" s="170" t="s">
        <v>24</v>
      </c>
      <c r="J41" s="170">
        <v>9</v>
      </c>
      <c r="K41" s="167" t="s">
        <v>16</v>
      </c>
      <c r="L41" s="170">
        <v>6</v>
      </c>
      <c r="M41" s="257">
        <v>7</v>
      </c>
      <c r="N41" s="172">
        <v>6.2222222222222197</v>
      </c>
      <c r="O41" s="283">
        <v>9</v>
      </c>
      <c r="P41" s="349"/>
      <c r="Q41" s="13"/>
    </row>
    <row r="42" spans="1:17" ht="19.5" customHeight="1" x14ac:dyDescent="0.3">
      <c r="A42" s="32"/>
      <c r="B42" s="174">
        <v>2026</v>
      </c>
      <c r="C42" s="175">
        <v>3</v>
      </c>
      <c r="D42" s="176">
        <v>703</v>
      </c>
      <c r="E42" s="177">
        <v>46050</v>
      </c>
      <c r="F42" s="328">
        <v>11.8</v>
      </c>
      <c r="G42" s="178">
        <v>82</v>
      </c>
      <c r="H42" s="179" t="s">
        <v>14</v>
      </c>
      <c r="I42" s="180" t="s">
        <v>24</v>
      </c>
      <c r="J42" s="180">
        <v>2</v>
      </c>
      <c r="K42" s="176" t="s">
        <v>16</v>
      </c>
      <c r="L42" s="180">
        <v>7</v>
      </c>
      <c r="M42" s="258">
        <v>8</v>
      </c>
      <c r="N42" s="182">
        <v>7.5</v>
      </c>
      <c r="O42" s="284">
        <v>0</v>
      </c>
      <c r="P42" s="350" t="s">
        <v>34</v>
      </c>
      <c r="Q42" s="13"/>
    </row>
    <row r="43" spans="1:17" ht="19.5" customHeight="1" x14ac:dyDescent="0.3">
      <c r="A43" s="32"/>
      <c r="B43" s="184">
        <v>2026</v>
      </c>
      <c r="C43" s="185">
        <v>3</v>
      </c>
      <c r="D43" s="186">
        <v>704</v>
      </c>
      <c r="E43" s="187">
        <v>46050</v>
      </c>
      <c r="F43" s="329">
        <v>10.6</v>
      </c>
      <c r="G43" s="188">
        <v>58</v>
      </c>
      <c r="H43" s="179" t="s">
        <v>14</v>
      </c>
      <c r="I43" s="189" t="s">
        <v>24</v>
      </c>
      <c r="J43" s="189">
        <v>8</v>
      </c>
      <c r="K43" s="186" t="s">
        <v>16</v>
      </c>
      <c r="L43" s="189">
        <v>6</v>
      </c>
      <c r="M43" s="259">
        <v>7</v>
      </c>
      <c r="N43" s="191">
        <v>6.625</v>
      </c>
      <c r="O43" s="285">
        <v>8</v>
      </c>
      <c r="P43" s="351"/>
      <c r="Q43" s="13"/>
    </row>
    <row r="44" spans="1:17" ht="19.5" customHeight="1" x14ac:dyDescent="0.3">
      <c r="A44" s="32"/>
      <c r="B44" s="184">
        <v>2026</v>
      </c>
      <c r="C44" s="185">
        <v>3</v>
      </c>
      <c r="D44" s="186">
        <v>705</v>
      </c>
      <c r="E44" s="187">
        <v>46049</v>
      </c>
      <c r="F44" s="329">
        <v>9.3000000000000007</v>
      </c>
      <c r="G44" s="188">
        <v>96</v>
      </c>
      <c r="H44" s="179" t="s">
        <v>14</v>
      </c>
      <c r="I44" s="189" t="s">
        <v>24</v>
      </c>
      <c r="J44" s="189">
        <v>5</v>
      </c>
      <c r="K44" s="186" t="s">
        <v>16</v>
      </c>
      <c r="L44" s="189">
        <v>6</v>
      </c>
      <c r="M44" s="259">
        <v>7</v>
      </c>
      <c r="N44" s="191">
        <v>6.6</v>
      </c>
      <c r="O44" s="285">
        <v>4</v>
      </c>
      <c r="P44" s="351"/>
      <c r="Q44" s="13"/>
    </row>
    <row r="45" spans="1:17" ht="19.5" customHeight="1" x14ac:dyDescent="0.3">
      <c r="A45" s="32"/>
      <c r="B45" s="184">
        <v>2026</v>
      </c>
      <c r="C45" s="185">
        <v>3</v>
      </c>
      <c r="D45" s="186">
        <v>706</v>
      </c>
      <c r="E45" s="187">
        <v>46049</v>
      </c>
      <c r="F45" s="329">
        <v>15.3</v>
      </c>
      <c r="G45" s="188">
        <v>55</v>
      </c>
      <c r="H45" s="179" t="s">
        <v>14</v>
      </c>
      <c r="I45" s="189" t="s">
        <v>24</v>
      </c>
      <c r="J45" s="189">
        <v>2</v>
      </c>
      <c r="K45" s="186" t="s">
        <v>16</v>
      </c>
      <c r="L45" s="189">
        <v>5</v>
      </c>
      <c r="M45" s="259">
        <v>5</v>
      </c>
      <c r="N45" s="191">
        <v>5</v>
      </c>
      <c r="O45" s="285">
        <v>1</v>
      </c>
      <c r="P45" s="351"/>
      <c r="Q45" s="13"/>
    </row>
    <row r="46" spans="1:17" ht="19.5" customHeight="1" x14ac:dyDescent="0.3">
      <c r="A46" s="32"/>
      <c r="B46" s="184">
        <v>2026</v>
      </c>
      <c r="C46" s="185">
        <v>3</v>
      </c>
      <c r="D46" s="186">
        <v>707</v>
      </c>
      <c r="E46" s="187">
        <v>46049</v>
      </c>
      <c r="F46" s="329">
        <v>12.8</v>
      </c>
      <c r="G46" s="188">
        <v>62</v>
      </c>
      <c r="H46" s="179" t="s">
        <v>14</v>
      </c>
      <c r="I46" s="189" t="s">
        <v>24</v>
      </c>
      <c r="J46" s="189">
        <v>3</v>
      </c>
      <c r="K46" s="186" t="s">
        <v>16</v>
      </c>
      <c r="L46" s="189">
        <v>6</v>
      </c>
      <c r="M46" s="259">
        <v>6</v>
      </c>
      <c r="N46" s="191">
        <v>6</v>
      </c>
      <c r="O46" s="285">
        <v>3</v>
      </c>
      <c r="P46" s="351"/>
      <c r="Q46" s="13"/>
    </row>
    <row r="47" spans="1:17" ht="19.5" customHeight="1" x14ac:dyDescent="0.3">
      <c r="A47" s="32"/>
      <c r="B47" s="184">
        <v>2026</v>
      </c>
      <c r="C47" s="185">
        <v>3</v>
      </c>
      <c r="D47" s="186">
        <v>711</v>
      </c>
      <c r="E47" s="187">
        <v>46049</v>
      </c>
      <c r="F47" s="329">
        <v>15</v>
      </c>
      <c r="G47" s="188">
        <v>68</v>
      </c>
      <c r="H47" s="179" t="s">
        <v>14</v>
      </c>
      <c r="I47" s="189" t="s">
        <v>15</v>
      </c>
      <c r="J47" s="189"/>
      <c r="K47" s="186" t="s">
        <v>16</v>
      </c>
      <c r="L47" s="189"/>
      <c r="M47" s="259"/>
      <c r="N47" s="191"/>
      <c r="O47" s="285"/>
      <c r="P47" s="351"/>
      <c r="Q47" s="13"/>
    </row>
    <row r="48" spans="1:17" ht="19.5" customHeight="1" x14ac:dyDescent="0.3">
      <c r="A48" s="32"/>
      <c r="B48" s="193">
        <v>2026</v>
      </c>
      <c r="C48" s="193">
        <v>3</v>
      </c>
      <c r="D48" s="194">
        <v>716</v>
      </c>
      <c r="E48" s="195">
        <v>46049</v>
      </c>
      <c r="F48" s="330">
        <v>10.1</v>
      </c>
      <c r="G48" s="196">
        <v>79</v>
      </c>
      <c r="H48" s="197" t="s">
        <v>14</v>
      </c>
      <c r="I48" s="196" t="s">
        <v>15</v>
      </c>
      <c r="J48" s="196"/>
      <c r="K48" s="194" t="s">
        <v>16</v>
      </c>
      <c r="L48" s="260"/>
      <c r="M48" s="261"/>
      <c r="N48" s="199"/>
      <c r="O48" s="286"/>
      <c r="P48" s="351"/>
      <c r="Q48" s="13"/>
    </row>
    <row r="49" spans="1:17" ht="19.5" customHeight="1" thickBot="1" x14ac:dyDescent="0.35">
      <c r="A49" s="32"/>
      <c r="B49" s="184">
        <v>2026</v>
      </c>
      <c r="C49" s="185">
        <v>3</v>
      </c>
      <c r="D49" s="186">
        <v>723</v>
      </c>
      <c r="E49" s="187">
        <v>46049</v>
      </c>
      <c r="F49" s="329">
        <v>10.1</v>
      </c>
      <c r="G49" s="188">
        <v>82</v>
      </c>
      <c r="H49" s="179" t="s">
        <v>14</v>
      </c>
      <c r="I49" s="188" t="s">
        <v>24</v>
      </c>
      <c r="J49" s="189">
        <v>2</v>
      </c>
      <c r="K49" s="179" t="s">
        <v>16</v>
      </c>
      <c r="L49" s="188">
        <v>6</v>
      </c>
      <c r="M49" s="262">
        <v>6</v>
      </c>
      <c r="N49" s="202">
        <v>6</v>
      </c>
      <c r="O49" s="287">
        <v>2</v>
      </c>
      <c r="P49" s="352"/>
      <c r="Q49" s="13"/>
    </row>
    <row r="50" spans="1:17" ht="19.5" customHeight="1" thickBot="1" x14ac:dyDescent="0.35">
      <c r="A50" s="32"/>
      <c r="B50" s="204">
        <v>2026</v>
      </c>
      <c r="C50" s="205">
        <v>3</v>
      </c>
      <c r="D50" s="206">
        <v>809</v>
      </c>
      <c r="E50" s="207">
        <v>46048</v>
      </c>
      <c r="F50" s="331">
        <v>11</v>
      </c>
      <c r="G50" s="208">
        <v>84</v>
      </c>
      <c r="H50" s="206" t="s">
        <v>14</v>
      </c>
      <c r="I50" s="209" t="s">
        <v>24</v>
      </c>
      <c r="J50" s="209">
        <v>5</v>
      </c>
      <c r="K50" s="206" t="s">
        <v>16</v>
      </c>
      <c r="L50" s="209">
        <v>6</v>
      </c>
      <c r="M50" s="263">
        <v>7</v>
      </c>
      <c r="N50" s="211">
        <v>6.8</v>
      </c>
      <c r="O50" s="288">
        <v>0</v>
      </c>
      <c r="P50" s="342" t="s">
        <v>28</v>
      </c>
      <c r="Q50" s="13"/>
    </row>
    <row r="51" spans="1:17" ht="19.5" customHeight="1" thickBot="1" x14ac:dyDescent="0.35">
      <c r="A51" s="32"/>
      <c r="B51" s="213">
        <v>2026</v>
      </c>
      <c r="C51" s="214">
        <v>3</v>
      </c>
      <c r="D51" s="215">
        <v>812</v>
      </c>
      <c r="E51" s="216">
        <v>46048</v>
      </c>
      <c r="F51" s="332">
        <v>8.5</v>
      </c>
      <c r="G51" s="217">
        <v>83</v>
      </c>
      <c r="H51" s="215" t="s">
        <v>14</v>
      </c>
      <c r="I51" s="218" t="s">
        <v>24</v>
      </c>
      <c r="J51" s="218">
        <v>4</v>
      </c>
      <c r="K51" s="215" t="s">
        <v>16</v>
      </c>
      <c r="L51" s="218">
        <v>6</v>
      </c>
      <c r="M51" s="264">
        <v>7</v>
      </c>
      <c r="N51" s="220">
        <v>6.5</v>
      </c>
      <c r="O51" s="289">
        <v>2</v>
      </c>
      <c r="P51" s="342"/>
      <c r="Q51" s="13"/>
    </row>
    <row r="52" spans="1:17" ht="19.5" customHeight="1" thickBot="1" x14ac:dyDescent="0.35">
      <c r="A52" s="32"/>
      <c r="B52" s="222">
        <v>2026</v>
      </c>
      <c r="C52" s="223">
        <v>3</v>
      </c>
      <c r="D52" s="224">
        <v>815</v>
      </c>
      <c r="E52" s="225">
        <v>46048</v>
      </c>
      <c r="F52" s="333">
        <v>8.6</v>
      </c>
      <c r="G52" s="226">
        <v>81</v>
      </c>
      <c r="H52" s="227" t="s">
        <v>14</v>
      </c>
      <c r="I52" s="228" t="s">
        <v>24</v>
      </c>
      <c r="J52" s="228">
        <v>2</v>
      </c>
      <c r="K52" s="224" t="s">
        <v>16</v>
      </c>
      <c r="L52" s="228">
        <v>6</v>
      </c>
      <c r="M52" s="265">
        <v>6</v>
      </c>
      <c r="N52" s="230">
        <v>6</v>
      </c>
      <c r="O52" s="290">
        <v>2</v>
      </c>
      <c r="P52" s="342"/>
      <c r="Q52" s="13"/>
    </row>
    <row r="53" spans="1:17" ht="19.5" customHeight="1" thickBot="1" x14ac:dyDescent="0.35">
      <c r="A53" s="32"/>
      <c r="B53" s="222">
        <v>2026</v>
      </c>
      <c r="C53" s="223">
        <v>3</v>
      </c>
      <c r="D53" s="224">
        <v>901</v>
      </c>
      <c r="E53" s="232">
        <v>46048</v>
      </c>
      <c r="F53" s="334">
        <v>8.5</v>
      </c>
      <c r="G53" s="226">
        <v>81</v>
      </c>
      <c r="H53" s="227" t="s">
        <v>14</v>
      </c>
      <c r="I53" s="228" t="s">
        <v>24</v>
      </c>
      <c r="J53" s="228">
        <v>5</v>
      </c>
      <c r="K53" s="224" t="s">
        <v>16</v>
      </c>
      <c r="L53" s="228">
        <v>6</v>
      </c>
      <c r="M53" s="265">
        <v>7</v>
      </c>
      <c r="N53" s="230">
        <v>6.5</v>
      </c>
      <c r="O53" s="290">
        <v>2</v>
      </c>
      <c r="P53" s="342"/>
      <c r="Q53" s="13"/>
    </row>
    <row r="54" spans="1:17" ht="19.5" customHeight="1" thickBot="1" x14ac:dyDescent="0.35">
      <c r="A54" s="32"/>
      <c r="B54" s="222">
        <v>2026</v>
      </c>
      <c r="C54" s="223">
        <v>3</v>
      </c>
      <c r="D54" s="224">
        <v>902</v>
      </c>
      <c r="E54" s="232">
        <v>46048</v>
      </c>
      <c r="F54" s="334">
        <v>6</v>
      </c>
      <c r="G54" s="226">
        <v>123</v>
      </c>
      <c r="H54" s="227" t="s">
        <v>14</v>
      </c>
      <c r="I54" s="228" t="s">
        <v>15</v>
      </c>
      <c r="J54" s="228"/>
      <c r="K54" s="224" t="s">
        <v>16</v>
      </c>
      <c r="L54" s="228"/>
      <c r="M54" s="265"/>
      <c r="N54" s="230"/>
      <c r="O54" s="290"/>
      <c r="P54" s="342"/>
      <c r="Q54" s="13"/>
    </row>
    <row r="55" spans="1:17" ht="19.5" customHeight="1" thickBot="1" x14ac:dyDescent="0.35">
      <c r="A55" s="32"/>
      <c r="B55" s="222">
        <v>2026</v>
      </c>
      <c r="C55" s="223">
        <v>3</v>
      </c>
      <c r="D55" s="224">
        <v>906</v>
      </c>
      <c r="E55" s="232">
        <v>46049</v>
      </c>
      <c r="F55" s="334">
        <v>6</v>
      </c>
      <c r="G55" s="226">
        <v>134</v>
      </c>
      <c r="H55" s="227" t="s">
        <v>14</v>
      </c>
      <c r="I55" s="228" t="s">
        <v>15</v>
      </c>
      <c r="J55" s="228"/>
      <c r="K55" s="224" t="s">
        <v>16</v>
      </c>
      <c r="L55" s="228"/>
      <c r="M55" s="265"/>
      <c r="N55" s="230"/>
      <c r="O55" s="290"/>
      <c r="P55" s="342"/>
      <c r="Q55" s="13"/>
    </row>
    <row r="56" spans="1:17" ht="19.5" customHeight="1" thickBot="1" x14ac:dyDescent="0.35">
      <c r="A56" s="32"/>
      <c r="B56" s="222">
        <v>2026</v>
      </c>
      <c r="C56" s="223">
        <v>3</v>
      </c>
      <c r="D56" s="224">
        <v>910</v>
      </c>
      <c r="E56" s="232">
        <v>46048</v>
      </c>
      <c r="F56" s="334">
        <v>8</v>
      </c>
      <c r="G56" s="226">
        <v>104</v>
      </c>
      <c r="H56" s="227" t="s">
        <v>14</v>
      </c>
      <c r="I56" s="228" t="s">
        <v>15</v>
      </c>
      <c r="J56" s="228"/>
      <c r="K56" s="224" t="s">
        <v>16</v>
      </c>
      <c r="L56" s="228"/>
      <c r="M56" s="265"/>
      <c r="N56" s="230"/>
      <c r="O56" s="290"/>
      <c r="P56" s="342"/>
      <c r="Q56" s="13"/>
    </row>
    <row r="57" spans="1:17" ht="19.5" customHeight="1" thickBot="1" x14ac:dyDescent="0.35">
      <c r="A57" s="32"/>
      <c r="B57" s="222">
        <v>2026</v>
      </c>
      <c r="C57" s="223">
        <v>3</v>
      </c>
      <c r="D57" s="224">
        <v>912</v>
      </c>
      <c r="E57" s="232">
        <v>46048</v>
      </c>
      <c r="F57" s="334">
        <v>2.4</v>
      </c>
      <c r="G57" s="226">
        <v>200</v>
      </c>
      <c r="H57" s="227" t="s">
        <v>14</v>
      </c>
      <c r="I57" s="228" t="s">
        <v>15</v>
      </c>
      <c r="J57" s="228"/>
      <c r="K57" s="224" t="s">
        <v>16</v>
      </c>
      <c r="L57" s="228"/>
      <c r="M57" s="265"/>
      <c r="N57" s="230"/>
      <c r="O57" s="290"/>
      <c r="P57" s="342"/>
      <c r="Q57" s="13"/>
    </row>
    <row r="58" spans="1:17" ht="19.5" customHeight="1" thickBot="1" x14ac:dyDescent="0.35">
      <c r="A58" s="32"/>
      <c r="B58" s="222">
        <v>2026</v>
      </c>
      <c r="C58" s="223">
        <v>3</v>
      </c>
      <c r="D58" s="224">
        <v>914</v>
      </c>
      <c r="E58" s="232">
        <v>46048</v>
      </c>
      <c r="F58" s="334">
        <v>4.5999999999999996</v>
      </c>
      <c r="G58" s="226">
        <v>159</v>
      </c>
      <c r="H58" s="227" t="s">
        <v>14</v>
      </c>
      <c r="I58" s="228" t="s">
        <v>15</v>
      </c>
      <c r="J58" s="228"/>
      <c r="K58" s="224" t="s">
        <v>16</v>
      </c>
      <c r="L58" s="228"/>
      <c r="M58" s="265"/>
      <c r="N58" s="230"/>
      <c r="O58" s="290"/>
      <c r="P58" s="342"/>
      <c r="Q58" s="13"/>
    </row>
    <row r="59" spans="1:17" ht="19.5" customHeight="1" thickBot="1" x14ac:dyDescent="0.35">
      <c r="A59" s="32"/>
      <c r="B59" s="222">
        <v>2026</v>
      </c>
      <c r="C59" s="223">
        <v>3</v>
      </c>
      <c r="D59" s="224">
        <v>915</v>
      </c>
      <c r="E59" s="232">
        <v>46048</v>
      </c>
      <c r="F59" s="334">
        <v>5.3</v>
      </c>
      <c r="G59" s="226">
        <v>155</v>
      </c>
      <c r="H59" s="227" t="s">
        <v>14</v>
      </c>
      <c r="I59" s="228" t="s">
        <v>15</v>
      </c>
      <c r="J59" s="228"/>
      <c r="K59" s="224" t="s">
        <v>16</v>
      </c>
      <c r="L59" s="228"/>
      <c r="M59" s="265"/>
      <c r="N59" s="230"/>
      <c r="O59" s="290"/>
      <c r="P59" s="342"/>
      <c r="Q59" s="13"/>
    </row>
    <row r="60" spans="1:17" ht="19.5" customHeight="1" thickBot="1" x14ac:dyDescent="0.35">
      <c r="A60" s="32"/>
      <c r="B60" s="222">
        <v>2026</v>
      </c>
      <c r="C60" s="223">
        <v>3</v>
      </c>
      <c r="D60" s="224">
        <v>918</v>
      </c>
      <c r="E60" s="232">
        <v>46048</v>
      </c>
      <c r="F60" s="334">
        <v>4.7</v>
      </c>
      <c r="G60" s="226">
        <v>147</v>
      </c>
      <c r="H60" s="227" t="s">
        <v>14</v>
      </c>
      <c r="I60" s="228" t="s">
        <v>15</v>
      </c>
      <c r="J60" s="228"/>
      <c r="K60" s="224" t="s">
        <v>16</v>
      </c>
      <c r="L60" s="228"/>
      <c r="M60" s="265"/>
      <c r="N60" s="230"/>
      <c r="O60" s="290"/>
      <c r="P60" s="342"/>
      <c r="Q60" s="13"/>
    </row>
    <row r="61" spans="1:17" ht="19.5" customHeight="1" thickBot="1" x14ac:dyDescent="0.35">
      <c r="A61" s="32"/>
      <c r="B61" s="233">
        <v>2026</v>
      </c>
      <c r="C61" s="234">
        <v>3</v>
      </c>
      <c r="D61" s="235">
        <v>919</v>
      </c>
      <c r="E61" s="236">
        <v>46049</v>
      </c>
      <c r="F61" s="335">
        <v>3.7</v>
      </c>
      <c r="G61" s="237">
        <v>194</v>
      </c>
      <c r="H61" s="227" t="s">
        <v>14</v>
      </c>
      <c r="I61" s="238" t="s">
        <v>15</v>
      </c>
      <c r="J61" s="238"/>
      <c r="K61" s="235" t="s">
        <v>16</v>
      </c>
      <c r="L61" s="238"/>
      <c r="M61" s="266"/>
      <c r="N61" s="240"/>
      <c r="O61" s="291"/>
      <c r="P61" s="342"/>
      <c r="Q61" s="13"/>
    </row>
    <row r="62" spans="1:17" ht="19.5" customHeight="1" x14ac:dyDescent="0.3">
      <c r="A62" s="32"/>
      <c r="B62" s="4" t="s">
        <v>37</v>
      </c>
      <c r="C62" s="5"/>
      <c r="D62" s="5"/>
      <c r="E62" s="5"/>
      <c r="F62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2"/>
      <c r="B63" s="4" t="s">
        <v>38</v>
      </c>
      <c r="C63" s="6"/>
      <c r="D63" s="6"/>
      <c r="E63" s="6"/>
      <c r="F63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2"/>
      <c r="B64" s="4" t="s">
        <v>39</v>
      </c>
      <c r="C64" s="6"/>
      <c r="D64" s="6"/>
      <c r="E64" s="6"/>
      <c r="F64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2"/>
      <c r="B65" s="7" t="s">
        <v>40</v>
      </c>
      <c r="C65" s="8"/>
      <c r="D65" s="8"/>
      <c r="E65" s="6"/>
      <c r="F65"/>
      <c r="G65"/>
      <c r="H65"/>
      <c r="I65"/>
      <c r="J65"/>
      <c r="K65"/>
      <c r="L65"/>
      <c r="M65"/>
      <c r="N65"/>
      <c r="O65"/>
      <c r="P65"/>
      <c r="Q65" s="18"/>
    </row>
    <row r="66" spans="1:30" ht="19.5" customHeight="1" x14ac:dyDescent="0.3">
      <c r="A66" s="32"/>
      <c r="B66" s="19"/>
      <c r="C66" s="19"/>
      <c r="D66" s="19"/>
      <c r="E66" s="19"/>
      <c r="F66"/>
      <c r="G66"/>
      <c r="H66"/>
      <c r="I66"/>
      <c r="J66"/>
      <c r="K66"/>
      <c r="L66"/>
      <c r="M66"/>
      <c r="N66"/>
      <c r="O66"/>
      <c r="P66"/>
      <c r="Q66" s="21"/>
      <c r="S66" s="24"/>
      <c r="T66" s="24"/>
      <c r="U66" s="25"/>
      <c r="V66" s="24"/>
      <c r="W66" s="24"/>
      <c r="X66" s="23"/>
      <c r="Y66" s="26"/>
      <c r="Z66" s="23"/>
      <c r="AA66" s="26"/>
      <c r="AB66" s="26"/>
      <c r="AC66" s="26"/>
      <c r="AD66" s="24"/>
    </row>
    <row r="67" spans="1:30" ht="19.5" customHeight="1" x14ac:dyDescent="0.3">
      <c r="F67"/>
      <c r="G67"/>
      <c r="H67"/>
      <c r="I67"/>
      <c r="J67"/>
      <c r="K67"/>
      <c r="L67"/>
      <c r="M67"/>
      <c r="N67"/>
      <c r="O67"/>
      <c r="P67"/>
      <c r="Q67" s="28"/>
    </row>
    <row r="68" spans="1:30" ht="19.5" customHeight="1" x14ac:dyDescent="0.3">
      <c r="F68"/>
      <c r="G68"/>
      <c r="H68"/>
      <c r="I68"/>
      <c r="J68"/>
      <c r="K68"/>
      <c r="L68"/>
      <c r="M68"/>
      <c r="N68"/>
      <c r="O68"/>
      <c r="P68"/>
      <c r="Q68" s="29"/>
    </row>
    <row r="69" spans="1:30" ht="19.5" customHeight="1" x14ac:dyDescent="0.3">
      <c r="F69"/>
      <c r="G69"/>
      <c r="H69"/>
      <c r="I69"/>
      <c r="J69"/>
      <c r="K69"/>
      <c r="L69"/>
      <c r="M69"/>
      <c r="N69"/>
      <c r="O69"/>
      <c r="P69"/>
      <c r="Q69" s="30"/>
    </row>
    <row r="70" spans="1:30" ht="15" customHeight="1" x14ac:dyDescent="0.3">
      <c r="F70"/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F71"/>
      <c r="G71"/>
      <c r="H71"/>
      <c r="I71"/>
      <c r="J71"/>
      <c r="K71"/>
      <c r="L71"/>
      <c r="M71"/>
      <c r="N71"/>
      <c r="O71"/>
      <c r="P71"/>
      <c r="Q71" s="19"/>
    </row>
    <row r="72" spans="1:30" ht="15" customHeight="1" x14ac:dyDescent="0.3">
      <c r="F72"/>
      <c r="G72"/>
      <c r="H72"/>
      <c r="I72"/>
      <c r="J72"/>
      <c r="K72"/>
      <c r="L72"/>
      <c r="M72"/>
      <c r="N72"/>
      <c r="O72"/>
      <c r="P72"/>
      <c r="Q72" s="19"/>
    </row>
    <row r="73" spans="1:30" ht="15" customHeight="1" x14ac:dyDescent="0.3">
      <c r="F73"/>
      <c r="G73"/>
      <c r="H73"/>
      <c r="I73"/>
      <c r="J73"/>
      <c r="K73"/>
      <c r="L73"/>
      <c r="M73"/>
      <c r="N73"/>
      <c r="O73"/>
      <c r="P73"/>
      <c r="Q73" s="19"/>
    </row>
    <row r="74" spans="1:30" ht="15" customHeight="1" x14ac:dyDescent="0.3">
      <c r="F74"/>
      <c r="G74"/>
      <c r="H74"/>
      <c r="I74"/>
      <c r="J74"/>
      <c r="K74"/>
      <c r="L74"/>
      <c r="M74"/>
      <c r="N74"/>
      <c r="O74"/>
      <c r="P74"/>
      <c r="Q74" s="19"/>
    </row>
    <row r="75" spans="1:30" ht="15" customHeight="1" x14ac:dyDescent="0.3">
      <c r="F75"/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F76"/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F77"/>
      <c r="G77"/>
      <c r="H77"/>
      <c r="I77"/>
      <c r="J77"/>
      <c r="K77"/>
      <c r="L77"/>
      <c r="M77"/>
      <c r="N77"/>
      <c r="O77"/>
      <c r="P77"/>
    </row>
    <row r="78" spans="1:30" ht="14.4" x14ac:dyDescent="0.3">
      <c r="F78"/>
      <c r="G78"/>
      <c r="H78"/>
      <c r="I78"/>
      <c r="J78"/>
      <c r="K78"/>
      <c r="L78"/>
      <c r="M78"/>
      <c r="N78"/>
      <c r="O78"/>
      <c r="P78"/>
    </row>
    <row r="79" spans="1:30" ht="14.4" x14ac:dyDescent="0.3">
      <c r="F79"/>
      <c r="G79"/>
      <c r="H79"/>
      <c r="I79"/>
      <c r="J79"/>
      <c r="K79"/>
      <c r="L79"/>
      <c r="M79"/>
      <c r="N79"/>
      <c r="O79"/>
      <c r="P79"/>
    </row>
    <row r="80" spans="1:30" ht="14.4" x14ac:dyDescent="0.3">
      <c r="F80"/>
      <c r="G80"/>
      <c r="H80"/>
      <c r="I80"/>
      <c r="J80"/>
      <c r="K80"/>
      <c r="L80"/>
      <c r="M80"/>
      <c r="N80"/>
      <c r="O80"/>
      <c r="P80"/>
    </row>
    <row r="81" spans="6:16" ht="14.4" x14ac:dyDescent="0.3">
      <c r="F81"/>
      <c r="G81"/>
      <c r="H81"/>
      <c r="I81"/>
      <c r="J81"/>
      <c r="K81"/>
      <c r="L81"/>
      <c r="M81"/>
      <c r="N81"/>
      <c r="O81"/>
      <c r="P81"/>
    </row>
    <row r="82" spans="6:16" ht="14.4" x14ac:dyDescent="0.3">
      <c r="F82"/>
      <c r="G82"/>
      <c r="H82"/>
      <c r="I82"/>
      <c r="J82"/>
      <c r="K82"/>
      <c r="L82"/>
      <c r="M82"/>
      <c r="N82"/>
      <c r="O82"/>
      <c r="P82"/>
    </row>
    <row r="83" spans="6:16" ht="14.4" x14ac:dyDescent="0.3">
      <c r="F83"/>
      <c r="G83"/>
      <c r="H83"/>
      <c r="I83"/>
      <c r="J83"/>
      <c r="K83"/>
      <c r="L83"/>
      <c r="M83"/>
      <c r="N83"/>
      <c r="O83"/>
      <c r="P8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2"/>
  <sheetViews>
    <sheetView topLeftCell="A67" workbookViewId="0">
      <selection activeCell="H62" sqref="H62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" style="22" customWidth="1"/>
    <col min="16" max="16" width="7.6640625" style="14" customWidth="1"/>
    <col min="17" max="17" width="9.109375" style="14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1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2"/>
      <c r="B3" s="38">
        <f>'[1]Survey 12'!B3</f>
        <v>2026</v>
      </c>
      <c r="C3" s="38">
        <v>4</v>
      </c>
      <c r="D3" s="38">
        <v>306</v>
      </c>
      <c r="E3" s="39">
        <v>46063</v>
      </c>
      <c r="F3" s="317">
        <v>4.3</v>
      </c>
      <c r="G3" s="40">
        <v>177</v>
      </c>
      <c r="H3" s="38" t="s">
        <v>14</v>
      </c>
      <c r="I3" s="41" t="s">
        <v>15</v>
      </c>
      <c r="J3" s="40"/>
      <c r="K3" s="38" t="s">
        <v>16</v>
      </c>
      <c r="L3" s="40"/>
      <c r="M3" s="242"/>
      <c r="N3" s="43"/>
      <c r="O3" s="267"/>
      <c r="P3" s="343" t="s">
        <v>31</v>
      </c>
      <c r="Q3" s="13"/>
    </row>
    <row r="4" spans="1:17" ht="19.5" customHeight="1" thickBot="1" x14ac:dyDescent="0.35">
      <c r="A4" s="32"/>
      <c r="B4" s="45">
        <f>B3</f>
        <v>2026</v>
      </c>
      <c r="C4" s="46">
        <f>C3</f>
        <v>4</v>
      </c>
      <c r="D4" s="47">
        <v>308</v>
      </c>
      <c r="E4" s="48">
        <v>46063</v>
      </c>
      <c r="F4" s="53">
        <v>5.8</v>
      </c>
      <c r="G4" s="49">
        <v>108</v>
      </c>
      <c r="H4" s="50" t="s">
        <v>14</v>
      </c>
      <c r="I4" s="51" t="s">
        <v>15</v>
      </c>
      <c r="J4" s="49"/>
      <c r="K4" s="47" t="s">
        <v>16</v>
      </c>
      <c r="L4" s="49"/>
      <c r="M4" s="243"/>
      <c r="N4" s="53"/>
      <c r="O4" s="268"/>
      <c r="P4" s="343"/>
      <c r="Q4" s="13"/>
    </row>
    <row r="5" spans="1:17" ht="19.5" customHeight="1" thickBot="1" x14ac:dyDescent="0.35">
      <c r="A5" s="32"/>
      <c r="B5" s="45">
        <f t="shared" ref="B5:C15" si="0">B4</f>
        <v>2026</v>
      </c>
      <c r="C5" s="46">
        <f t="shared" si="0"/>
        <v>4</v>
      </c>
      <c r="D5" s="45">
        <v>311</v>
      </c>
      <c r="E5" s="55">
        <v>46063</v>
      </c>
      <c r="F5" s="60">
        <v>4.7</v>
      </c>
      <c r="G5" s="56">
        <v>106</v>
      </c>
      <c r="H5" s="57" t="s">
        <v>14</v>
      </c>
      <c r="I5" s="58" t="s">
        <v>15</v>
      </c>
      <c r="J5" s="56"/>
      <c r="K5" s="45" t="s">
        <v>16</v>
      </c>
      <c r="L5" s="56"/>
      <c r="M5" s="244"/>
      <c r="N5" s="60"/>
      <c r="O5" s="269"/>
      <c r="P5" s="343"/>
      <c r="Q5" s="13"/>
    </row>
    <row r="6" spans="1:17" ht="19.5" customHeight="1" thickBot="1" x14ac:dyDescent="0.35">
      <c r="A6" s="32"/>
      <c r="B6" s="45">
        <f t="shared" si="0"/>
        <v>2026</v>
      </c>
      <c r="C6" s="46">
        <f t="shared" si="0"/>
        <v>4</v>
      </c>
      <c r="D6" s="45">
        <v>315</v>
      </c>
      <c r="E6" s="55">
        <v>46063</v>
      </c>
      <c r="F6" s="60">
        <v>4.9000000000000004</v>
      </c>
      <c r="G6" s="56">
        <v>94</v>
      </c>
      <c r="H6" s="57" t="s">
        <v>14</v>
      </c>
      <c r="I6" s="58" t="s">
        <v>15</v>
      </c>
      <c r="J6" s="56"/>
      <c r="K6" s="45" t="s">
        <v>16</v>
      </c>
      <c r="L6" s="56"/>
      <c r="M6" s="244"/>
      <c r="N6" s="60"/>
      <c r="O6" s="269"/>
      <c r="P6" s="343"/>
      <c r="Q6" s="13"/>
    </row>
    <row r="7" spans="1:17" ht="19.5" customHeight="1" thickBot="1" x14ac:dyDescent="0.35">
      <c r="A7" s="32"/>
      <c r="B7" s="45">
        <f t="shared" si="0"/>
        <v>2026</v>
      </c>
      <c r="C7" s="46">
        <f t="shared" si="0"/>
        <v>4</v>
      </c>
      <c r="D7" s="45">
        <v>322</v>
      </c>
      <c r="E7" s="55">
        <v>46063</v>
      </c>
      <c r="F7" s="60">
        <v>4.8</v>
      </c>
      <c r="G7" s="56">
        <v>102</v>
      </c>
      <c r="H7" s="57" t="s">
        <v>14</v>
      </c>
      <c r="I7" s="58" t="s">
        <v>15</v>
      </c>
      <c r="J7" s="56"/>
      <c r="K7" s="45" t="s">
        <v>16</v>
      </c>
      <c r="L7" s="56"/>
      <c r="M7" s="244"/>
      <c r="N7" s="60"/>
      <c r="O7" s="269"/>
      <c r="P7" s="343"/>
      <c r="Q7" s="13"/>
    </row>
    <row r="8" spans="1:17" ht="19.5" customHeight="1" thickBot="1" x14ac:dyDescent="0.35">
      <c r="A8" s="32"/>
      <c r="B8" s="45">
        <f t="shared" si="0"/>
        <v>2026</v>
      </c>
      <c r="C8" s="46">
        <f t="shared" si="0"/>
        <v>4</v>
      </c>
      <c r="D8" s="45">
        <v>323</v>
      </c>
      <c r="E8" s="55">
        <v>46063</v>
      </c>
      <c r="F8" s="60">
        <v>12.2</v>
      </c>
      <c r="G8" s="56">
        <v>67</v>
      </c>
      <c r="H8" s="57" t="s">
        <v>14</v>
      </c>
      <c r="I8" s="58" t="s">
        <v>24</v>
      </c>
      <c r="J8" s="56">
        <v>9</v>
      </c>
      <c r="K8" s="45" t="s">
        <v>16</v>
      </c>
      <c r="L8" s="56">
        <v>6</v>
      </c>
      <c r="M8" s="244">
        <v>8</v>
      </c>
      <c r="N8" s="60">
        <v>7.1111111111111098</v>
      </c>
      <c r="O8" s="269">
        <v>5</v>
      </c>
      <c r="P8" s="343"/>
      <c r="Q8" s="13"/>
    </row>
    <row r="9" spans="1:17" ht="19.5" customHeight="1" thickBot="1" x14ac:dyDescent="0.35">
      <c r="A9" s="32"/>
      <c r="B9" s="45">
        <f t="shared" si="0"/>
        <v>2026</v>
      </c>
      <c r="C9" s="46">
        <f t="shared" si="0"/>
        <v>4</v>
      </c>
      <c r="D9" s="45">
        <v>327</v>
      </c>
      <c r="E9" s="55">
        <v>46063</v>
      </c>
      <c r="F9" s="60">
        <v>5.9</v>
      </c>
      <c r="G9" s="56">
        <v>86</v>
      </c>
      <c r="H9" s="57" t="s">
        <v>14</v>
      </c>
      <c r="I9" s="58" t="s">
        <v>15</v>
      </c>
      <c r="J9" s="56"/>
      <c r="K9" s="45" t="s">
        <v>16</v>
      </c>
      <c r="L9" s="56"/>
      <c r="M9" s="244"/>
      <c r="N9" s="60"/>
      <c r="O9" s="269"/>
      <c r="P9" s="343"/>
      <c r="Q9" s="13"/>
    </row>
    <row r="10" spans="1:17" ht="19.5" customHeight="1" thickBot="1" x14ac:dyDescent="0.35">
      <c r="A10" s="32"/>
      <c r="B10" s="45">
        <f t="shared" si="0"/>
        <v>2026</v>
      </c>
      <c r="C10" s="46">
        <f t="shared" si="0"/>
        <v>4</v>
      </c>
      <c r="D10" s="45">
        <v>328</v>
      </c>
      <c r="E10" s="55">
        <v>46063</v>
      </c>
      <c r="F10" s="60">
        <v>8.5</v>
      </c>
      <c r="G10" s="56">
        <v>78</v>
      </c>
      <c r="H10" s="57" t="s">
        <v>14</v>
      </c>
      <c r="I10" s="58" t="s">
        <v>24</v>
      </c>
      <c r="J10" s="56">
        <v>14</v>
      </c>
      <c r="K10" s="45" t="s">
        <v>16</v>
      </c>
      <c r="L10" s="56">
        <v>7</v>
      </c>
      <c r="M10" s="244">
        <v>11</v>
      </c>
      <c r="N10" s="60">
        <v>8</v>
      </c>
      <c r="O10" s="269">
        <v>2</v>
      </c>
      <c r="P10" s="343"/>
      <c r="Q10" s="13"/>
    </row>
    <row r="11" spans="1:17" ht="19.5" customHeight="1" thickBot="1" x14ac:dyDescent="0.35">
      <c r="A11" s="32"/>
      <c r="B11" s="45">
        <f t="shared" si="0"/>
        <v>2026</v>
      </c>
      <c r="C11" s="46">
        <f t="shared" si="0"/>
        <v>4</v>
      </c>
      <c r="D11" s="45">
        <v>329</v>
      </c>
      <c r="E11" s="55">
        <v>46063</v>
      </c>
      <c r="F11" s="60">
        <v>6.8</v>
      </c>
      <c r="G11" s="56">
        <v>77</v>
      </c>
      <c r="H11" s="57" t="s">
        <v>14</v>
      </c>
      <c r="I11" s="58" t="s">
        <v>24</v>
      </c>
      <c r="J11" s="56">
        <v>1</v>
      </c>
      <c r="K11" s="45" t="s">
        <v>16</v>
      </c>
      <c r="L11" s="56">
        <v>8</v>
      </c>
      <c r="M11" s="244">
        <v>8</v>
      </c>
      <c r="N11" s="60">
        <v>8</v>
      </c>
      <c r="O11" s="269">
        <v>0</v>
      </c>
      <c r="P11" s="343"/>
      <c r="Q11" s="13"/>
    </row>
    <row r="12" spans="1:17" ht="19.5" customHeight="1" thickBot="1" x14ac:dyDescent="0.35">
      <c r="A12" s="32"/>
      <c r="B12" s="45">
        <f t="shared" si="0"/>
        <v>2026</v>
      </c>
      <c r="C12" s="46">
        <f t="shared" si="0"/>
        <v>4</v>
      </c>
      <c r="D12" s="45">
        <v>330</v>
      </c>
      <c r="E12" s="55">
        <v>46063</v>
      </c>
      <c r="F12" s="60">
        <v>22.2</v>
      </c>
      <c r="G12" s="56">
        <v>62</v>
      </c>
      <c r="H12" s="57" t="s">
        <v>14</v>
      </c>
      <c r="I12" s="58" t="s">
        <v>15</v>
      </c>
      <c r="J12" s="56"/>
      <c r="K12" s="45" t="s">
        <v>16</v>
      </c>
      <c r="L12" s="56"/>
      <c r="M12" s="244"/>
      <c r="N12" s="60"/>
      <c r="O12" s="269"/>
      <c r="P12" s="343"/>
      <c r="Q12" s="13"/>
    </row>
    <row r="13" spans="1:17" ht="19.5" customHeight="1" thickBot="1" x14ac:dyDescent="0.35">
      <c r="A13" s="32"/>
      <c r="B13" s="45">
        <f t="shared" si="0"/>
        <v>2026</v>
      </c>
      <c r="C13" s="46">
        <f t="shared" si="0"/>
        <v>4</v>
      </c>
      <c r="D13" s="45">
        <v>335</v>
      </c>
      <c r="E13" s="55">
        <v>46063</v>
      </c>
      <c r="F13" s="60">
        <v>6.2</v>
      </c>
      <c r="G13" s="56">
        <v>77</v>
      </c>
      <c r="H13" s="57" t="s">
        <v>14</v>
      </c>
      <c r="I13" s="58" t="s">
        <v>24</v>
      </c>
      <c r="J13" s="56">
        <v>4</v>
      </c>
      <c r="K13" s="45" t="s">
        <v>16</v>
      </c>
      <c r="L13" s="56">
        <v>6</v>
      </c>
      <c r="M13" s="244">
        <v>8</v>
      </c>
      <c r="N13" s="60">
        <v>7.25</v>
      </c>
      <c r="O13" s="269">
        <v>2</v>
      </c>
      <c r="P13" s="343"/>
      <c r="Q13" s="13"/>
    </row>
    <row r="14" spans="1:17" ht="19.5" customHeight="1" thickBot="1" x14ac:dyDescent="0.35">
      <c r="A14" s="32"/>
      <c r="B14" s="45">
        <f t="shared" si="0"/>
        <v>2026</v>
      </c>
      <c r="C14" s="46">
        <f t="shared" si="0"/>
        <v>4</v>
      </c>
      <c r="D14" s="45">
        <v>336</v>
      </c>
      <c r="E14" s="55">
        <v>46064</v>
      </c>
      <c r="F14" s="60">
        <v>5.8</v>
      </c>
      <c r="G14" s="56">
        <v>92</v>
      </c>
      <c r="H14" s="57" t="s">
        <v>14</v>
      </c>
      <c r="I14" s="58" t="s">
        <v>15</v>
      </c>
      <c r="J14" s="56"/>
      <c r="K14" s="45" t="s">
        <v>16</v>
      </c>
      <c r="L14" s="56"/>
      <c r="M14" s="244"/>
      <c r="N14" s="60"/>
      <c r="O14" s="269"/>
      <c r="P14" s="343"/>
      <c r="Q14" s="13"/>
    </row>
    <row r="15" spans="1:17" ht="19.5" customHeight="1" thickBot="1" x14ac:dyDescent="0.35">
      <c r="A15" s="32"/>
      <c r="B15" s="62">
        <f>B14</f>
        <v>2026</v>
      </c>
      <c r="C15" s="46">
        <f t="shared" si="0"/>
        <v>4</v>
      </c>
      <c r="D15" s="62">
        <v>338</v>
      </c>
      <c r="E15" s="63">
        <v>46064</v>
      </c>
      <c r="F15" s="67">
        <v>5.9</v>
      </c>
      <c r="G15" s="64">
        <v>84</v>
      </c>
      <c r="H15" s="57" t="s">
        <v>14</v>
      </c>
      <c r="I15" s="65" t="s">
        <v>15</v>
      </c>
      <c r="J15" s="64"/>
      <c r="K15" s="62" t="s">
        <v>16</v>
      </c>
      <c r="L15" s="64"/>
      <c r="M15" s="245"/>
      <c r="N15" s="67"/>
      <c r="O15" s="270"/>
      <c r="P15" s="343"/>
      <c r="Q15" s="13"/>
    </row>
    <row r="16" spans="1:17" ht="19.5" customHeight="1" x14ac:dyDescent="0.3">
      <c r="A16" s="32"/>
      <c r="B16" s="69">
        <f>B15</f>
        <v>2026</v>
      </c>
      <c r="C16" s="70">
        <f>C3</f>
        <v>4</v>
      </c>
      <c r="D16" s="69">
        <v>340</v>
      </c>
      <c r="E16" s="71">
        <v>46063</v>
      </c>
      <c r="F16" s="318">
        <v>21.8</v>
      </c>
      <c r="G16" s="72">
        <v>42</v>
      </c>
      <c r="H16" s="69" t="s">
        <v>14</v>
      </c>
      <c r="I16" s="73" t="s">
        <v>24</v>
      </c>
      <c r="J16" s="73">
        <v>101</v>
      </c>
      <c r="K16" s="69" t="s">
        <v>16</v>
      </c>
      <c r="L16" s="73">
        <v>6</v>
      </c>
      <c r="M16" s="246">
        <v>12</v>
      </c>
      <c r="N16" s="75">
        <v>7.36</v>
      </c>
      <c r="O16" s="271">
        <v>50</v>
      </c>
      <c r="P16" s="344" t="s">
        <v>12</v>
      </c>
      <c r="Q16" s="13"/>
    </row>
    <row r="17" spans="1:17" ht="19.5" customHeight="1" x14ac:dyDescent="0.3">
      <c r="A17" s="32"/>
      <c r="B17" s="77">
        <f>B16</f>
        <v>2026</v>
      </c>
      <c r="C17" s="77">
        <f>C3</f>
        <v>4</v>
      </c>
      <c r="D17" s="78">
        <v>342</v>
      </c>
      <c r="E17" s="79">
        <v>46065</v>
      </c>
      <c r="F17" s="319">
        <v>8.9</v>
      </c>
      <c r="G17" s="80">
        <v>85</v>
      </c>
      <c r="H17" s="78" t="s">
        <v>14</v>
      </c>
      <c r="I17" s="81" t="s">
        <v>24</v>
      </c>
      <c r="J17" s="81">
        <v>1</v>
      </c>
      <c r="K17" s="78" t="s">
        <v>16</v>
      </c>
      <c r="L17" s="81">
        <v>9</v>
      </c>
      <c r="M17" s="247">
        <v>9</v>
      </c>
      <c r="N17" s="83">
        <v>9</v>
      </c>
      <c r="O17" s="272">
        <v>0</v>
      </c>
      <c r="P17" s="345"/>
      <c r="Q17" s="13"/>
    </row>
    <row r="18" spans="1:17" ht="19.5" customHeight="1" x14ac:dyDescent="0.3">
      <c r="A18" s="32"/>
      <c r="B18" s="77">
        <f t="shared" ref="B18:B19" si="1">B17</f>
        <v>2026</v>
      </c>
      <c r="C18" s="77">
        <f>C3</f>
        <v>4</v>
      </c>
      <c r="D18" s="78">
        <v>343</v>
      </c>
      <c r="E18" s="79">
        <v>46065</v>
      </c>
      <c r="F18" s="319">
        <v>9.8000000000000007</v>
      </c>
      <c r="G18" s="80">
        <v>70</v>
      </c>
      <c r="H18" s="78" t="s">
        <v>14</v>
      </c>
      <c r="I18" s="81" t="s">
        <v>24</v>
      </c>
      <c r="J18" s="81">
        <v>14</v>
      </c>
      <c r="K18" s="78" t="s">
        <v>16</v>
      </c>
      <c r="L18" s="81">
        <v>6</v>
      </c>
      <c r="M18" s="247">
        <v>9</v>
      </c>
      <c r="N18" s="83">
        <v>7.3846153846153904</v>
      </c>
      <c r="O18" s="272">
        <v>1</v>
      </c>
      <c r="P18" s="345"/>
      <c r="Q18" s="13"/>
    </row>
    <row r="19" spans="1:17" ht="19.5" customHeight="1" x14ac:dyDescent="0.3">
      <c r="A19" s="32"/>
      <c r="B19" s="77">
        <f t="shared" si="1"/>
        <v>2026</v>
      </c>
      <c r="C19" s="77">
        <f>C4</f>
        <v>4</v>
      </c>
      <c r="D19" s="78">
        <v>344</v>
      </c>
      <c r="E19" s="79">
        <v>46065</v>
      </c>
      <c r="F19" s="319">
        <v>11.4</v>
      </c>
      <c r="G19" s="80">
        <v>56</v>
      </c>
      <c r="H19" s="78" t="s">
        <v>14</v>
      </c>
      <c r="I19" s="81" t="s">
        <v>24</v>
      </c>
      <c r="J19" s="81">
        <v>71</v>
      </c>
      <c r="K19" s="78" t="s">
        <v>16</v>
      </c>
      <c r="L19" s="81">
        <v>6</v>
      </c>
      <c r="M19" s="247">
        <v>13</v>
      </c>
      <c r="N19" s="83">
        <v>9.2253521126760596</v>
      </c>
      <c r="O19" s="272">
        <v>6</v>
      </c>
      <c r="P19" s="345"/>
      <c r="Q19" s="13"/>
    </row>
    <row r="20" spans="1:17" ht="19.5" customHeight="1" x14ac:dyDescent="0.3">
      <c r="A20" s="32"/>
      <c r="B20" s="77">
        <f>B19</f>
        <v>2026</v>
      </c>
      <c r="C20" s="77">
        <f>C5</f>
        <v>4</v>
      </c>
      <c r="D20" s="78">
        <v>345</v>
      </c>
      <c r="E20" s="79">
        <v>46065</v>
      </c>
      <c r="F20" s="319">
        <v>10.199999999999999</v>
      </c>
      <c r="G20" s="80">
        <v>71</v>
      </c>
      <c r="H20" s="78" t="s">
        <v>14</v>
      </c>
      <c r="I20" s="81" t="s">
        <v>24</v>
      </c>
      <c r="J20" s="81">
        <v>84</v>
      </c>
      <c r="K20" s="78" t="s">
        <v>16</v>
      </c>
      <c r="L20" s="81">
        <v>6</v>
      </c>
      <c r="M20" s="247">
        <v>17</v>
      </c>
      <c r="N20" s="83">
        <v>11.1875</v>
      </c>
      <c r="O20" s="272">
        <v>1</v>
      </c>
      <c r="P20" s="345"/>
      <c r="Q20" s="13"/>
    </row>
    <row r="21" spans="1:17" ht="19.5" customHeight="1" x14ac:dyDescent="0.3">
      <c r="A21" s="32"/>
      <c r="B21" s="85">
        <f>B20</f>
        <v>2026</v>
      </c>
      <c r="C21" s="85">
        <f>C6</f>
        <v>4</v>
      </c>
      <c r="D21" s="86">
        <v>346</v>
      </c>
      <c r="E21" s="79">
        <v>46065</v>
      </c>
      <c r="F21" s="319">
        <v>9.1999999999999993</v>
      </c>
      <c r="G21" s="80">
        <v>74</v>
      </c>
      <c r="H21" s="78" t="s">
        <v>14</v>
      </c>
      <c r="I21" s="81" t="s">
        <v>24</v>
      </c>
      <c r="J21" s="81">
        <v>129</v>
      </c>
      <c r="K21" s="78" t="s">
        <v>16</v>
      </c>
      <c r="L21" s="81">
        <v>7</v>
      </c>
      <c r="M21" s="247">
        <v>15</v>
      </c>
      <c r="N21" s="83">
        <v>9.6300000000000008</v>
      </c>
      <c r="O21" s="272">
        <v>41</v>
      </c>
      <c r="P21" s="345"/>
      <c r="Q21" s="13"/>
    </row>
    <row r="22" spans="1:17" ht="19.5" customHeight="1" x14ac:dyDescent="0.3">
      <c r="A22" s="32"/>
      <c r="B22" s="87">
        <f t="shared" ref="B22" si="2">B21</f>
        <v>2026</v>
      </c>
      <c r="C22" s="77">
        <f>C7</f>
        <v>4</v>
      </c>
      <c r="D22" s="78">
        <v>347</v>
      </c>
      <c r="E22" s="88">
        <v>46065</v>
      </c>
      <c r="F22" s="320">
        <v>7.2</v>
      </c>
      <c r="G22" s="80">
        <v>66</v>
      </c>
      <c r="H22" s="78" t="s">
        <v>14</v>
      </c>
      <c r="I22" s="81" t="s">
        <v>24</v>
      </c>
      <c r="J22" s="81">
        <v>74</v>
      </c>
      <c r="K22" s="78" t="s">
        <v>16</v>
      </c>
      <c r="L22" s="81">
        <v>8</v>
      </c>
      <c r="M22" s="247">
        <v>15</v>
      </c>
      <c r="N22" s="83">
        <v>11.527027027027</v>
      </c>
      <c r="O22" s="272">
        <v>5</v>
      </c>
      <c r="P22" s="345"/>
      <c r="Q22" s="13"/>
    </row>
    <row r="23" spans="1:17" ht="19.5" customHeight="1" x14ac:dyDescent="0.3">
      <c r="A23" s="32"/>
      <c r="B23" s="77">
        <f>B22</f>
        <v>2026</v>
      </c>
      <c r="C23" s="89">
        <f>C5</f>
        <v>4</v>
      </c>
      <c r="D23" s="90">
        <v>348</v>
      </c>
      <c r="E23" s="79">
        <v>46065</v>
      </c>
      <c r="F23" s="319">
        <v>6.5</v>
      </c>
      <c r="G23" s="80">
        <v>61</v>
      </c>
      <c r="H23" s="78" t="s">
        <v>14</v>
      </c>
      <c r="I23" s="81" t="s">
        <v>24</v>
      </c>
      <c r="J23" s="81">
        <v>29</v>
      </c>
      <c r="K23" s="78" t="s">
        <v>16</v>
      </c>
      <c r="L23" s="81">
        <v>9</v>
      </c>
      <c r="M23" s="247">
        <v>13</v>
      </c>
      <c r="N23" s="91">
        <v>10.862068965517199</v>
      </c>
      <c r="O23" s="273">
        <v>0</v>
      </c>
      <c r="P23" s="345"/>
      <c r="Q23" s="13"/>
    </row>
    <row r="24" spans="1:17" ht="19.5" customHeight="1" thickBot="1" x14ac:dyDescent="0.35">
      <c r="A24" s="32"/>
      <c r="B24" s="93">
        <f>B23</f>
        <v>2026</v>
      </c>
      <c r="C24" s="85">
        <f>C6</f>
        <v>4</v>
      </c>
      <c r="D24" s="94">
        <v>349</v>
      </c>
      <c r="E24" s="95">
        <v>46065</v>
      </c>
      <c r="F24" s="321">
        <v>6.4</v>
      </c>
      <c r="G24" s="96">
        <v>80</v>
      </c>
      <c r="H24" s="94" t="s">
        <v>14</v>
      </c>
      <c r="I24" s="97" t="s">
        <v>24</v>
      </c>
      <c r="J24" s="97">
        <v>49</v>
      </c>
      <c r="K24" s="94" t="s">
        <v>16</v>
      </c>
      <c r="L24" s="97">
        <v>7</v>
      </c>
      <c r="M24" s="248">
        <v>13</v>
      </c>
      <c r="N24" s="99">
        <v>10</v>
      </c>
      <c r="O24" s="274">
        <v>12</v>
      </c>
      <c r="P24" s="346"/>
      <c r="Q24" s="13"/>
    </row>
    <row r="25" spans="1:17" ht="19.5" customHeight="1" thickBot="1" x14ac:dyDescent="0.35">
      <c r="A25" s="32"/>
      <c r="B25" s="101">
        <f>B24</f>
        <v>2026</v>
      </c>
      <c r="C25" s="102">
        <f>C3</f>
        <v>4</v>
      </c>
      <c r="D25" s="101">
        <v>401</v>
      </c>
      <c r="E25" s="103">
        <v>46064</v>
      </c>
      <c r="F25" s="322">
        <v>5.9</v>
      </c>
      <c r="G25" s="104">
        <v>84</v>
      </c>
      <c r="H25" s="101" t="s">
        <v>14</v>
      </c>
      <c r="I25" s="105" t="s">
        <v>15</v>
      </c>
      <c r="J25" s="105"/>
      <c r="K25" s="101" t="s">
        <v>16</v>
      </c>
      <c r="L25" s="105"/>
      <c r="M25" s="249"/>
      <c r="N25" s="107"/>
      <c r="O25" s="275"/>
      <c r="P25" s="347" t="s">
        <v>32</v>
      </c>
      <c r="Q25" s="13"/>
    </row>
    <row r="26" spans="1:17" ht="19.5" customHeight="1" thickBot="1" x14ac:dyDescent="0.35">
      <c r="A26" s="32"/>
      <c r="B26" s="101">
        <f t="shared" ref="B26:B61" si="3">B25</f>
        <v>2026</v>
      </c>
      <c r="C26" s="109">
        <f>C3</f>
        <v>4</v>
      </c>
      <c r="D26" s="110">
        <v>404</v>
      </c>
      <c r="E26" s="111">
        <v>46064</v>
      </c>
      <c r="F26" s="322">
        <v>6.1</v>
      </c>
      <c r="G26" s="104">
        <v>80</v>
      </c>
      <c r="H26" s="110" t="s">
        <v>14</v>
      </c>
      <c r="I26" s="112" t="s">
        <v>24</v>
      </c>
      <c r="J26" s="112">
        <v>2</v>
      </c>
      <c r="K26" s="110" t="s">
        <v>16</v>
      </c>
      <c r="L26" s="112">
        <v>7</v>
      </c>
      <c r="M26" s="250">
        <v>9</v>
      </c>
      <c r="N26" s="114">
        <v>8</v>
      </c>
      <c r="O26" s="276">
        <v>1</v>
      </c>
      <c r="P26" s="347"/>
      <c r="Q26" s="13"/>
    </row>
    <row r="27" spans="1:17" ht="19.5" customHeight="1" thickBot="1" x14ac:dyDescent="0.35">
      <c r="A27" s="32"/>
      <c r="B27" s="116">
        <f t="shared" si="3"/>
        <v>2026</v>
      </c>
      <c r="C27" s="116">
        <f>C3</f>
        <v>4</v>
      </c>
      <c r="D27" s="117">
        <v>405</v>
      </c>
      <c r="E27" s="118">
        <v>46064</v>
      </c>
      <c r="F27" s="121">
        <v>7.8</v>
      </c>
      <c r="G27" s="119">
        <v>82</v>
      </c>
      <c r="H27" s="117" t="s">
        <v>14</v>
      </c>
      <c r="I27" s="119" t="s">
        <v>15</v>
      </c>
      <c r="J27" s="119"/>
      <c r="K27" s="117" t="s">
        <v>16</v>
      </c>
      <c r="L27" s="119"/>
      <c r="M27" s="251"/>
      <c r="N27" s="121"/>
      <c r="O27" s="277"/>
      <c r="P27" s="347"/>
      <c r="Q27" s="13"/>
    </row>
    <row r="28" spans="1:17" ht="19.5" customHeight="1" thickBot="1" x14ac:dyDescent="0.35">
      <c r="A28" s="32"/>
      <c r="B28" s="123">
        <f t="shared" si="3"/>
        <v>2026</v>
      </c>
      <c r="C28" s="123">
        <f>C3</f>
        <v>4</v>
      </c>
      <c r="D28" s="124">
        <v>411</v>
      </c>
      <c r="E28" s="125">
        <v>46062</v>
      </c>
      <c r="F28" s="128">
        <v>13.6</v>
      </c>
      <c r="G28" s="126">
        <v>44</v>
      </c>
      <c r="H28" s="124" t="s">
        <v>14</v>
      </c>
      <c r="I28" s="126" t="s">
        <v>24</v>
      </c>
      <c r="J28" s="126">
        <v>792</v>
      </c>
      <c r="K28" s="124" t="s">
        <v>16</v>
      </c>
      <c r="L28" s="126">
        <v>7</v>
      </c>
      <c r="M28" s="252">
        <v>11</v>
      </c>
      <c r="N28" s="128"/>
      <c r="O28" s="278">
        <v>536</v>
      </c>
      <c r="P28" s="348" t="s">
        <v>33</v>
      </c>
      <c r="Q28" s="13"/>
    </row>
    <row r="29" spans="1:17" ht="19.5" customHeight="1" thickBot="1" x14ac:dyDescent="0.35">
      <c r="A29" s="32"/>
      <c r="B29" s="130">
        <f t="shared" si="3"/>
        <v>2026</v>
      </c>
      <c r="C29" s="130">
        <f>C3</f>
        <v>4</v>
      </c>
      <c r="D29" s="131">
        <v>418</v>
      </c>
      <c r="E29" s="132">
        <v>46062</v>
      </c>
      <c r="F29" s="135">
        <v>19.5</v>
      </c>
      <c r="G29" s="133">
        <v>38</v>
      </c>
      <c r="H29" s="131" t="s">
        <v>14</v>
      </c>
      <c r="I29" s="133" t="s">
        <v>24</v>
      </c>
      <c r="J29" s="133">
        <v>113</v>
      </c>
      <c r="K29" s="131" t="s">
        <v>16</v>
      </c>
      <c r="L29" s="133">
        <v>6</v>
      </c>
      <c r="M29" s="253">
        <v>11</v>
      </c>
      <c r="N29" s="135">
        <v>7.7</v>
      </c>
      <c r="O29" s="279">
        <v>55</v>
      </c>
      <c r="P29" s="348"/>
      <c r="Q29" s="13"/>
    </row>
    <row r="30" spans="1:17" ht="19.5" customHeight="1" thickBot="1" x14ac:dyDescent="0.35">
      <c r="A30" s="32"/>
      <c r="B30" s="130">
        <f t="shared" si="3"/>
        <v>2026</v>
      </c>
      <c r="C30" s="130">
        <f>C3</f>
        <v>4</v>
      </c>
      <c r="D30" s="131">
        <v>501</v>
      </c>
      <c r="E30" s="137">
        <v>46062</v>
      </c>
      <c r="F30" s="323">
        <v>14.2</v>
      </c>
      <c r="G30" s="138">
        <v>47</v>
      </c>
      <c r="H30" s="131" t="s">
        <v>14</v>
      </c>
      <c r="I30" s="133" t="s">
        <v>24</v>
      </c>
      <c r="J30" s="133">
        <v>234</v>
      </c>
      <c r="K30" s="131" t="s">
        <v>16</v>
      </c>
      <c r="L30" s="133">
        <v>6</v>
      </c>
      <c r="M30" s="253">
        <v>12</v>
      </c>
      <c r="N30" s="135">
        <v>7.27</v>
      </c>
      <c r="O30" s="279">
        <v>168</v>
      </c>
      <c r="P30" s="348"/>
      <c r="Q30" s="13"/>
    </row>
    <row r="31" spans="1:17" ht="19.5" customHeight="1" thickBot="1" x14ac:dyDescent="0.35">
      <c r="A31" s="32"/>
      <c r="B31" s="130">
        <f t="shared" si="3"/>
        <v>2026</v>
      </c>
      <c r="C31" s="130">
        <f>C3</f>
        <v>4</v>
      </c>
      <c r="D31" s="131">
        <v>504</v>
      </c>
      <c r="E31" s="132">
        <v>46062</v>
      </c>
      <c r="F31" s="135">
        <v>11.7</v>
      </c>
      <c r="G31" s="133">
        <v>68</v>
      </c>
      <c r="H31" s="131" t="s">
        <v>14</v>
      </c>
      <c r="I31" s="133" t="s">
        <v>24</v>
      </c>
      <c r="J31" s="133">
        <v>450</v>
      </c>
      <c r="K31" s="131" t="s">
        <v>16</v>
      </c>
      <c r="L31" s="133">
        <v>6</v>
      </c>
      <c r="M31" s="253">
        <v>10</v>
      </c>
      <c r="N31" s="135">
        <v>7.7</v>
      </c>
      <c r="O31" s="279">
        <v>28</v>
      </c>
      <c r="P31" s="348"/>
      <c r="Q31" s="13"/>
    </row>
    <row r="32" spans="1:17" ht="19.5" customHeight="1" thickBot="1" x14ac:dyDescent="0.35">
      <c r="A32" s="32"/>
      <c r="B32" s="130">
        <f t="shared" si="3"/>
        <v>2026</v>
      </c>
      <c r="C32" s="130">
        <f>C3</f>
        <v>4</v>
      </c>
      <c r="D32" s="131">
        <v>519</v>
      </c>
      <c r="E32" s="132">
        <v>46062</v>
      </c>
      <c r="F32" s="135">
        <v>16.100000000000001</v>
      </c>
      <c r="G32" s="133">
        <v>38</v>
      </c>
      <c r="H32" s="131" t="s">
        <v>14</v>
      </c>
      <c r="I32" s="133" t="s">
        <v>24</v>
      </c>
      <c r="J32" s="133">
        <v>89</v>
      </c>
      <c r="K32" s="131" t="s">
        <v>16</v>
      </c>
      <c r="L32" s="133">
        <v>5</v>
      </c>
      <c r="M32" s="253">
        <v>10</v>
      </c>
      <c r="N32" s="135">
        <v>7.0337078651685401</v>
      </c>
      <c r="O32" s="279">
        <v>44</v>
      </c>
      <c r="P32" s="348"/>
      <c r="Q32" s="13"/>
    </row>
    <row r="33" spans="1:17" ht="19.5" customHeight="1" thickBot="1" x14ac:dyDescent="0.35">
      <c r="A33" s="32"/>
      <c r="B33" s="130">
        <f t="shared" si="3"/>
        <v>2026</v>
      </c>
      <c r="C33" s="130">
        <f>C3</f>
        <v>4</v>
      </c>
      <c r="D33" s="131">
        <v>602</v>
      </c>
      <c r="E33" s="137">
        <v>46064</v>
      </c>
      <c r="F33" s="323">
        <v>12.2</v>
      </c>
      <c r="G33" s="138">
        <v>59</v>
      </c>
      <c r="H33" s="131" t="s">
        <v>14</v>
      </c>
      <c r="I33" s="133" t="s">
        <v>24</v>
      </c>
      <c r="J33" s="133">
        <v>31</v>
      </c>
      <c r="K33" s="131" t="s">
        <v>16</v>
      </c>
      <c r="L33" s="133">
        <v>7</v>
      </c>
      <c r="M33" s="253">
        <v>10</v>
      </c>
      <c r="N33" s="135">
        <v>7.4838709677419404</v>
      </c>
      <c r="O33" s="279">
        <v>23</v>
      </c>
      <c r="P33" s="348"/>
      <c r="Q33" s="13"/>
    </row>
    <row r="34" spans="1:17" ht="19.5" customHeight="1" thickBot="1" x14ac:dyDescent="0.35">
      <c r="A34" s="32"/>
      <c r="B34" s="130">
        <f t="shared" si="3"/>
        <v>2026</v>
      </c>
      <c r="C34" s="130">
        <f>C3</f>
        <v>4</v>
      </c>
      <c r="D34" s="131">
        <v>606</v>
      </c>
      <c r="E34" s="132">
        <v>46064</v>
      </c>
      <c r="F34" s="135">
        <v>25.8</v>
      </c>
      <c r="G34" s="133">
        <v>38</v>
      </c>
      <c r="H34" s="131" t="s">
        <v>14</v>
      </c>
      <c r="I34" s="133" t="s">
        <v>24</v>
      </c>
      <c r="J34" s="133">
        <v>83</v>
      </c>
      <c r="K34" s="131" t="s">
        <v>16</v>
      </c>
      <c r="L34" s="133">
        <v>6</v>
      </c>
      <c r="M34" s="253">
        <v>10</v>
      </c>
      <c r="N34" s="135">
        <v>7.4179104477611899</v>
      </c>
      <c r="O34" s="279">
        <v>52</v>
      </c>
      <c r="P34" s="348"/>
      <c r="Q34" s="13"/>
    </row>
    <row r="35" spans="1:17" ht="19.5" customHeight="1" thickBot="1" x14ac:dyDescent="0.35">
      <c r="A35" s="32"/>
      <c r="B35" s="130">
        <f t="shared" si="3"/>
        <v>2026</v>
      </c>
      <c r="C35" s="130">
        <f>C3</f>
        <v>4</v>
      </c>
      <c r="D35" s="131">
        <v>609</v>
      </c>
      <c r="E35" s="132">
        <v>46064</v>
      </c>
      <c r="F35" s="135">
        <v>14.9</v>
      </c>
      <c r="G35" s="133">
        <v>52</v>
      </c>
      <c r="H35" s="131" t="s">
        <v>14</v>
      </c>
      <c r="I35" s="133" t="s">
        <v>24</v>
      </c>
      <c r="J35" s="133">
        <v>12</v>
      </c>
      <c r="K35" s="131" t="s">
        <v>16</v>
      </c>
      <c r="L35" s="133">
        <v>7</v>
      </c>
      <c r="M35" s="253">
        <v>8</v>
      </c>
      <c r="N35" s="135">
        <v>7.6666666666666696</v>
      </c>
      <c r="O35" s="279">
        <v>10</v>
      </c>
      <c r="P35" s="348"/>
      <c r="Q35" s="13"/>
    </row>
    <row r="36" spans="1:17" ht="19.5" customHeight="1" thickBot="1" x14ac:dyDescent="0.35">
      <c r="A36" s="32"/>
      <c r="B36" s="139">
        <f t="shared" si="3"/>
        <v>2026</v>
      </c>
      <c r="C36" s="140">
        <f>C3</f>
        <v>4</v>
      </c>
      <c r="D36" s="141">
        <v>610</v>
      </c>
      <c r="E36" s="142">
        <v>46064</v>
      </c>
      <c r="F36" s="324">
        <v>10.199999999999999</v>
      </c>
      <c r="G36" s="143">
        <v>67</v>
      </c>
      <c r="H36" s="141" t="s">
        <v>14</v>
      </c>
      <c r="I36" s="144" t="s">
        <v>24</v>
      </c>
      <c r="J36" s="144">
        <v>14</v>
      </c>
      <c r="K36" s="141" t="s">
        <v>16</v>
      </c>
      <c r="L36" s="144">
        <v>6</v>
      </c>
      <c r="M36" s="254">
        <v>8</v>
      </c>
      <c r="N36" s="146">
        <v>7.1428571428571397</v>
      </c>
      <c r="O36" s="280">
        <v>10</v>
      </c>
      <c r="P36" s="348"/>
      <c r="Q36" s="13"/>
    </row>
    <row r="37" spans="1:17" ht="19.5" customHeight="1" thickBot="1" x14ac:dyDescent="0.35">
      <c r="A37" s="32"/>
      <c r="B37" s="148">
        <f t="shared" si="3"/>
        <v>2026</v>
      </c>
      <c r="C37" s="149">
        <f>C3</f>
        <v>4</v>
      </c>
      <c r="D37" s="150">
        <v>508</v>
      </c>
      <c r="E37" s="151">
        <v>46062</v>
      </c>
      <c r="F37" s="325">
        <v>14.1</v>
      </c>
      <c r="G37" s="152">
        <v>49</v>
      </c>
      <c r="H37" s="153" t="s">
        <v>14</v>
      </c>
      <c r="I37" s="153" t="s">
        <v>24</v>
      </c>
      <c r="J37" s="153">
        <v>310</v>
      </c>
      <c r="K37" s="150" t="s">
        <v>16</v>
      </c>
      <c r="L37" s="153">
        <v>6</v>
      </c>
      <c r="M37" s="255">
        <v>10</v>
      </c>
      <c r="N37" s="155">
        <v>7.21</v>
      </c>
      <c r="O37" s="281">
        <v>161</v>
      </c>
      <c r="P37" s="349" t="s">
        <v>13</v>
      </c>
      <c r="Q37" s="13"/>
    </row>
    <row r="38" spans="1:17" ht="19.5" customHeight="1" thickBot="1" x14ac:dyDescent="0.35">
      <c r="A38" s="32"/>
      <c r="B38" s="157">
        <f t="shared" si="3"/>
        <v>2026</v>
      </c>
      <c r="C38" s="149">
        <f>C3</f>
        <v>4</v>
      </c>
      <c r="D38" s="158">
        <v>513</v>
      </c>
      <c r="E38" s="159">
        <v>46062</v>
      </c>
      <c r="F38" s="326">
        <v>9.8000000000000007</v>
      </c>
      <c r="G38" s="160">
        <v>65</v>
      </c>
      <c r="H38" s="161" t="s">
        <v>14</v>
      </c>
      <c r="I38" s="161" t="s">
        <v>24</v>
      </c>
      <c r="J38" s="161">
        <v>62</v>
      </c>
      <c r="K38" s="158" t="s">
        <v>16</v>
      </c>
      <c r="L38" s="161">
        <v>6</v>
      </c>
      <c r="M38" s="256">
        <v>8</v>
      </c>
      <c r="N38" s="163">
        <v>6.55</v>
      </c>
      <c r="O38" s="282">
        <v>27</v>
      </c>
      <c r="P38" s="349"/>
      <c r="Q38" s="13"/>
    </row>
    <row r="39" spans="1:17" ht="19.5" customHeight="1" thickBot="1" x14ac:dyDescent="0.35">
      <c r="A39" s="32"/>
      <c r="B39" s="157">
        <f t="shared" si="3"/>
        <v>2026</v>
      </c>
      <c r="C39" s="149">
        <f>C3</f>
        <v>4</v>
      </c>
      <c r="D39" s="158">
        <v>520</v>
      </c>
      <c r="E39" s="159">
        <v>46062</v>
      </c>
      <c r="F39" s="326">
        <v>9.3000000000000007</v>
      </c>
      <c r="G39" s="160">
        <v>89</v>
      </c>
      <c r="H39" s="161" t="s">
        <v>14</v>
      </c>
      <c r="I39" s="161" t="s">
        <v>24</v>
      </c>
      <c r="J39" s="161">
        <v>22</v>
      </c>
      <c r="K39" s="158" t="s">
        <v>16</v>
      </c>
      <c r="L39" s="161">
        <v>6</v>
      </c>
      <c r="M39" s="256">
        <v>9</v>
      </c>
      <c r="N39" s="163">
        <v>7.1428571428571397</v>
      </c>
      <c r="O39" s="282">
        <v>19</v>
      </c>
      <c r="P39" s="349"/>
      <c r="Q39" s="13"/>
    </row>
    <row r="40" spans="1:17" ht="19.5" customHeight="1" thickBot="1" x14ac:dyDescent="0.35">
      <c r="A40" s="32"/>
      <c r="B40" s="157">
        <f t="shared" si="3"/>
        <v>2026</v>
      </c>
      <c r="C40" s="149">
        <f>C3</f>
        <v>4</v>
      </c>
      <c r="D40" s="158">
        <v>801</v>
      </c>
      <c r="E40" s="159">
        <v>46062</v>
      </c>
      <c r="F40" s="326">
        <v>8.6999999999999993</v>
      </c>
      <c r="G40" s="160">
        <v>89</v>
      </c>
      <c r="H40" s="161" t="s">
        <v>14</v>
      </c>
      <c r="I40" s="161" t="s">
        <v>24</v>
      </c>
      <c r="J40" s="161">
        <v>4</v>
      </c>
      <c r="K40" s="158" t="s">
        <v>16</v>
      </c>
      <c r="L40" s="161">
        <v>6</v>
      </c>
      <c r="M40" s="256">
        <v>7</v>
      </c>
      <c r="N40" s="163">
        <v>6.5</v>
      </c>
      <c r="O40" s="282">
        <v>0</v>
      </c>
      <c r="P40" s="349"/>
      <c r="Q40" s="13"/>
    </row>
    <row r="41" spans="1:17" ht="19.5" customHeight="1" thickBot="1" x14ac:dyDescent="0.35">
      <c r="A41" s="32"/>
      <c r="B41" s="165">
        <f t="shared" si="3"/>
        <v>2026</v>
      </c>
      <c r="C41" s="166">
        <f>C3</f>
        <v>4</v>
      </c>
      <c r="D41" s="167">
        <v>804</v>
      </c>
      <c r="E41" s="168">
        <v>46063</v>
      </c>
      <c r="F41" s="327">
        <v>8.6</v>
      </c>
      <c r="G41" s="169">
        <v>121</v>
      </c>
      <c r="H41" s="170" t="s">
        <v>14</v>
      </c>
      <c r="I41" s="170" t="s">
        <v>24</v>
      </c>
      <c r="J41" s="170">
        <v>12</v>
      </c>
      <c r="K41" s="167" t="s">
        <v>16</v>
      </c>
      <c r="L41" s="170">
        <v>6</v>
      </c>
      <c r="M41" s="257">
        <v>8</v>
      </c>
      <c r="N41" s="172">
        <v>7.25</v>
      </c>
      <c r="O41" s="283">
        <v>0</v>
      </c>
      <c r="P41" s="349"/>
      <c r="Q41" s="13"/>
    </row>
    <row r="42" spans="1:17" ht="19.5" customHeight="1" x14ac:dyDescent="0.3">
      <c r="A42" s="32"/>
      <c r="B42" s="174">
        <f t="shared" si="3"/>
        <v>2026</v>
      </c>
      <c r="C42" s="175">
        <f>C3</f>
        <v>4</v>
      </c>
      <c r="D42" s="176">
        <v>703</v>
      </c>
      <c r="E42" s="177">
        <v>46063</v>
      </c>
      <c r="F42" s="328">
        <v>6.4</v>
      </c>
      <c r="G42" s="178">
        <v>123</v>
      </c>
      <c r="H42" s="179" t="s">
        <v>14</v>
      </c>
      <c r="I42" s="180" t="s">
        <v>24</v>
      </c>
      <c r="J42" s="180">
        <v>2</v>
      </c>
      <c r="K42" s="176" t="s">
        <v>16</v>
      </c>
      <c r="L42" s="180">
        <v>6</v>
      </c>
      <c r="M42" s="258">
        <v>6</v>
      </c>
      <c r="N42" s="182">
        <v>6</v>
      </c>
      <c r="O42" s="284">
        <v>0</v>
      </c>
      <c r="P42" s="350" t="s">
        <v>34</v>
      </c>
      <c r="Q42" s="13"/>
    </row>
    <row r="43" spans="1:17" ht="19.5" customHeight="1" x14ac:dyDescent="0.3">
      <c r="A43" s="32"/>
      <c r="B43" s="184">
        <f t="shared" si="3"/>
        <v>2026</v>
      </c>
      <c r="C43" s="185">
        <f>C3</f>
        <v>4</v>
      </c>
      <c r="D43" s="186">
        <v>704</v>
      </c>
      <c r="E43" s="187">
        <v>46063</v>
      </c>
      <c r="F43" s="329">
        <v>6.9</v>
      </c>
      <c r="G43" s="188">
        <v>113</v>
      </c>
      <c r="H43" s="179" t="s">
        <v>14</v>
      </c>
      <c r="I43" s="189" t="s">
        <v>24</v>
      </c>
      <c r="J43" s="189">
        <v>16</v>
      </c>
      <c r="K43" s="186" t="s">
        <v>16</v>
      </c>
      <c r="L43" s="189">
        <v>7</v>
      </c>
      <c r="M43" s="259">
        <v>8</v>
      </c>
      <c r="N43" s="191">
        <v>7.125</v>
      </c>
      <c r="O43" s="285">
        <v>9</v>
      </c>
      <c r="P43" s="351"/>
      <c r="Q43" s="13"/>
    </row>
    <row r="44" spans="1:17" ht="19.5" customHeight="1" x14ac:dyDescent="0.3">
      <c r="A44" s="32"/>
      <c r="B44" s="184">
        <f t="shared" si="3"/>
        <v>2026</v>
      </c>
      <c r="C44" s="185">
        <f>C3</f>
        <v>4</v>
      </c>
      <c r="D44" s="186">
        <v>705</v>
      </c>
      <c r="E44" s="187">
        <v>46063</v>
      </c>
      <c r="F44" s="329">
        <v>4.2</v>
      </c>
      <c r="G44" s="188">
        <v>200</v>
      </c>
      <c r="H44" s="179" t="s">
        <v>14</v>
      </c>
      <c r="I44" s="189" t="s">
        <v>24</v>
      </c>
      <c r="J44" s="189">
        <v>3</v>
      </c>
      <c r="K44" s="186" t="s">
        <v>16</v>
      </c>
      <c r="L44" s="189">
        <v>7</v>
      </c>
      <c r="M44" s="259">
        <v>7</v>
      </c>
      <c r="N44" s="191">
        <v>7</v>
      </c>
      <c r="O44" s="285">
        <v>0</v>
      </c>
      <c r="P44" s="351"/>
      <c r="Q44" s="13"/>
    </row>
    <row r="45" spans="1:17" ht="19.5" customHeight="1" x14ac:dyDescent="0.3">
      <c r="A45" s="32"/>
      <c r="B45" s="184">
        <f t="shared" si="3"/>
        <v>2026</v>
      </c>
      <c r="C45" s="185">
        <f>C3</f>
        <v>4</v>
      </c>
      <c r="D45" s="186">
        <v>706</v>
      </c>
      <c r="E45" s="187">
        <v>46063</v>
      </c>
      <c r="F45" s="329">
        <v>6.2</v>
      </c>
      <c r="G45" s="188">
        <v>125</v>
      </c>
      <c r="H45" s="179" t="s">
        <v>14</v>
      </c>
      <c r="I45" s="189" t="s">
        <v>24</v>
      </c>
      <c r="J45" s="189">
        <v>21</v>
      </c>
      <c r="K45" s="186" t="s">
        <v>16</v>
      </c>
      <c r="L45" s="189">
        <v>7</v>
      </c>
      <c r="M45" s="259">
        <v>8</v>
      </c>
      <c r="N45" s="191">
        <v>7.1052631578947398</v>
      </c>
      <c r="O45" s="285">
        <v>9</v>
      </c>
      <c r="P45" s="351"/>
      <c r="Q45" s="13"/>
    </row>
    <row r="46" spans="1:17" ht="19.5" customHeight="1" x14ac:dyDescent="0.3">
      <c r="A46" s="32"/>
      <c r="B46" s="184">
        <f t="shared" si="3"/>
        <v>2026</v>
      </c>
      <c r="C46" s="185">
        <f>C3</f>
        <v>4</v>
      </c>
      <c r="D46" s="186">
        <v>707</v>
      </c>
      <c r="E46" s="187">
        <v>46063</v>
      </c>
      <c r="F46" s="329">
        <v>6</v>
      </c>
      <c r="G46" s="188">
        <v>135</v>
      </c>
      <c r="H46" s="179" t="s">
        <v>14</v>
      </c>
      <c r="I46" s="189" t="s">
        <v>24</v>
      </c>
      <c r="J46" s="189">
        <v>58</v>
      </c>
      <c r="K46" s="186" t="s">
        <v>16</v>
      </c>
      <c r="L46" s="189">
        <v>5</v>
      </c>
      <c r="M46" s="259">
        <v>8</v>
      </c>
      <c r="N46" s="191">
        <v>6.3090909090909104</v>
      </c>
      <c r="O46" s="285">
        <v>6</v>
      </c>
      <c r="P46" s="351"/>
      <c r="Q46" s="13"/>
    </row>
    <row r="47" spans="1:17" ht="19.5" customHeight="1" x14ac:dyDescent="0.3">
      <c r="A47" s="32"/>
      <c r="B47" s="184">
        <f t="shared" si="3"/>
        <v>2026</v>
      </c>
      <c r="C47" s="185">
        <f>C3</f>
        <v>4</v>
      </c>
      <c r="D47" s="186">
        <v>711</v>
      </c>
      <c r="E47" s="187">
        <v>46063</v>
      </c>
      <c r="F47" s="329">
        <v>8.6999999999999993</v>
      </c>
      <c r="G47" s="188">
        <v>132</v>
      </c>
      <c r="H47" s="179" t="s">
        <v>14</v>
      </c>
      <c r="I47" s="189" t="s">
        <v>15</v>
      </c>
      <c r="J47" s="189"/>
      <c r="K47" s="186" t="s">
        <v>16</v>
      </c>
      <c r="L47" s="189"/>
      <c r="M47" s="259"/>
      <c r="N47" s="191"/>
      <c r="O47" s="285"/>
      <c r="P47" s="351"/>
      <c r="Q47" s="13"/>
    </row>
    <row r="48" spans="1:17" ht="19.5" customHeight="1" x14ac:dyDescent="0.3">
      <c r="A48" s="32"/>
      <c r="B48" s="193">
        <f t="shared" si="3"/>
        <v>2026</v>
      </c>
      <c r="C48" s="193">
        <f>C3</f>
        <v>4</v>
      </c>
      <c r="D48" s="194">
        <v>716</v>
      </c>
      <c r="E48" s="195">
        <v>46063</v>
      </c>
      <c r="F48" s="330">
        <v>8.9</v>
      </c>
      <c r="G48" s="196">
        <v>117</v>
      </c>
      <c r="H48" s="197" t="s">
        <v>14</v>
      </c>
      <c r="I48" s="196" t="s">
        <v>24</v>
      </c>
      <c r="J48" s="196">
        <v>2</v>
      </c>
      <c r="K48" s="194" t="s">
        <v>16</v>
      </c>
      <c r="L48" s="260">
        <v>6</v>
      </c>
      <c r="M48" s="261">
        <v>6</v>
      </c>
      <c r="N48" s="199">
        <v>6</v>
      </c>
      <c r="O48" s="286">
        <v>1</v>
      </c>
      <c r="P48" s="351"/>
      <c r="Q48" s="13"/>
    </row>
    <row r="49" spans="1:17" ht="19.5" customHeight="1" thickBot="1" x14ac:dyDescent="0.35">
      <c r="A49" s="32"/>
      <c r="B49" s="184">
        <f t="shared" si="3"/>
        <v>2026</v>
      </c>
      <c r="C49" s="185">
        <f>C3</f>
        <v>4</v>
      </c>
      <c r="D49" s="186">
        <v>723</v>
      </c>
      <c r="E49" s="187">
        <v>46063</v>
      </c>
      <c r="F49" s="329">
        <v>7.7</v>
      </c>
      <c r="G49" s="188">
        <v>106</v>
      </c>
      <c r="H49" s="179" t="s">
        <v>14</v>
      </c>
      <c r="I49" s="188" t="s">
        <v>24</v>
      </c>
      <c r="J49" s="189">
        <v>2</v>
      </c>
      <c r="K49" s="179" t="s">
        <v>16</v>
      </c>
      <c r="L49" s="188">
        <v>7</v>
      </c>
      <c r="M49" s="262">
        <v>7</v>
      </c>
      <c r="N49" s="202">
        <v>7</v>
      </c>
      <c r="O49" s="287">
        <v>1</v>
      </c>
      <c r="P49" s="352"/>
      <c r="Q49" s="13"/>
    </row>
    <row r="50" spans="1:17" ht="19.5" customHeight="1" thickBot="1" x14ac:dyDescent="0.35">
      <c r="A50" s="32"/>
      <c r="B50" s="204">
        <v>2026</v>
      </c>
      <c r="C50" s="205">
        <f>C3</f>
        <v>4</v>
      </c>
      <c r="D50" s="206">
        <v>809</v>
      </c>
      <c r="E50" s="207">
        <v>46062</v>
      </c>
      <c r="F50" s="331">
        <v>7.8</v>
      </c>
      <c r="G50" s="208">
        <v>113</v>
      </c>
      <c r="H50" s="206" t="s">
        <v>14</v>
      </c>
      <c r="I50" s="209" t="s">
        <v>24</v>
      </c>
      <c r="J50" s="209">
        <v>11</v>
      </c>
      <c r="K50" s="206" t="s">
        <v>16</v>
      </c>
      <c r="L50" s="209">
        <v>6</v>
      </c>
      <c r="M50" s="263">
        <v>7</v>
      </c>
      <c r="N50" s="211">
        <v>6.4545454545454497</v>
      </c>
      <c r="O50" s="288">
        <v>11</v>
      </c>
      <c r="P50" s="342" t="s">
        <v>28</v>
      </c>
      <c r="Q50" s="13"/>
    </row>
    <row r="51" spans="1:17" ht="19.5" customHeight="1" thickBot="1" x14ac:dyDescent="0.35">
      <c r="A51" s="32"/>
      <c r="B51" s="213">
        <f t="shared" si="3"/>
        <v>2026</v>
      </c>
      <c r="C51" s="214">
        <f>C3</f>
        <v>4</v>
      </c>
      <c r="D51" s="215">
        <v>812</v>
      </c>
      <c r="E51" s="216">
        <v>46062</v>
      </c>
      <c r="F51" s="332">
        <v>7.2</v>
      </c>
      <c r="G51" s="217">
        <v>118</v>
      </c>
      <c r="H51" s="215" t="s">
        <v>14</v>
      </c>
      <c r="I51" s="218" t="s">
        <v>24</v>
      </c>
      <c r="J51" s="218">
        <v>9</v>
      </c>
      <c r="K51" s="215" t="s">
        <v>16</v>
      </c>
      <c r="L51" s="218">
        <v>6</v>
      </c>
      <c r="M51" s="264">
        <v>9</v>
      </c>
      <c r="N51" s="220">
        <v>7.2222222222222197</v>
      </c>
      <c r="O51" s="289">
        <v>4</v>
      </c>
      <c r="P51" s="342"/>
      <c r="Q51" s="13"/>
    </row>
    <row r="52" spans="1:17" ht="19.5" customHeight="1" thickBot="1" x14ac:dyDescent="0.35">
      <c r="A52" s="32"/>
      <c r="B52" s="222">
        <f t="shared" si="3"/>
        <v>2026</v>
      </c>
      <c r="C52" s="223">
        <f>C3</f>
        <v>4</v>
      </c>
      <c r="D52" s="224">
        <v>815</v>
      </c>
      <c r="E52" s="225">
        <v>46062</v>
      </c>
      <c r="F52" s="333">
        <v>5.6</v>
      </c>
      <c r="G52" s="226">
        <v>133</v>
      </c>
      <c r="H52" s="227" t="s">
        <v>14</v>
      </c>
      <c r="I52" s="228" t="s">
        <v>24</v>
      </c>
      <c r="J52" s="228">
        <v>3</v>
      </c>
      <c r="K52" s="224" t="s">
        <v>16</v>
      </c>
      <c r="L52" s="228">
        <v>7</v>
      </c>
      <c r="M52" s="265">
        <v>8</v>
      </c>
      <c r="N52" s="230">
        <v>7.3333333333333304</v>
      </c>
      <c r="O52" s="290">
        <v>0</v>
      </c>
      <c r="P52" s="342"/>
      <c r="Q52" s="13"/>
    </row>
    <row r="53" spans="1:17" ht="19.5" customHeight="1" thickBot="1" x14ac:dyDescent="0.35">
      <c r="A53" s="32"/>
      <c r="B53" s="222">
        <f t="shared" si="3"/>
        <v>2026</v>
      </c>
      <c r="C53" s="223">
        <f>C3</f>
        <v>4</v>
      </c>
      <c r="D53" s="224">
        <v>901</v>
      </c>
      <c r="E53" s="232">
        <v>46062</v>
      </c>
      <c r="F53" s="334">
        <v>5.4</v>
      </c>
      <c r="G53" s="226">
        <v>143</v>
      </c>
      <c r="H53" s="227" t="s">
        <v>14</v>
      </c>
      <c r="I53" s="228" t="s">
        <v>24</v>
      </c>
      <c r="J53" s="228">
        <v>3</v>
      </c>
      <c r="K53" s="224" t="s">
        <v>16</v>
      </c>
      <c r="L53" s="228">
        <v>7</v>
      </c>
      <c r="M53" s="265">
        <v>8</v>
      </c>
      <c r="N53" s="230">
        <v>7.6666666666666696</v>
      </c>
      <c r="O53" s="290">
        <v>0</v>
      </c>
      <c r="P53" s="342"/>
      <c r="Q53" s="13"/>
    </row>
    <row r="54" spans="1:17" ht="19.5" customHeight="1" thickBot="1" x14ac:dyDescent="0.35">
      <c r="A54" s="32"/>
      <c r="B54" s="222">
        <f t="shared" si="3"/>
        <v>2026</v>
      </c>
      <c r="C54" s="223">
        <f>C3</f>
        <v>4</v>
      </c>
      <c r="D54" s="224">
        <v>902</v>
      </c>
      <c r="E54" s="232">
        <v>46062</v>
      </c>
      <c r="F54" s="334">
        <v>5.6</v>
      </c>
      <c r="G54" s="226">
        <v>140</v>
      </c>
      <c r="H54" s="227" t="s">
        <v>14</v>
      </c>
      <c r="I54" s="228" t="s">
        <v>15</v>
      </c>
      <c r="J54" s="228"/>
      <c r="K54" s="224" t="s">
        <v>16</v>
      </c>
      <c r="L54" s="228"/>
      <c r="M54" s="265"/>
      <c r="N54" s="230"/>
      <c r="O54" s="290"/>
      <c r="P54" s="342"/>
      <c r="Q54" s="13"/>
    </row>
    <row r="55" spans="1:17" ht="19.5" customHeight="1" thickBot="1" x14ac:dyDescent="0.35">
      <c r="A55" s="32"/>
      <c r="B55" s="222">
        <f t="shared" si="3"/>
        <v>2026</v>
      </c>
      <c r="C55" s="223">
        <f>C3</f>
        <v>4</v>
      </c>
      <c r="D55" s="224">
        <v>906</v>
      </c>
      <c r="E55" s="232">
        <v>46062</v>
      </c>
      <c r="F55" s="334">
        <v>3.9</v>
      </c>
      <c r="G55" s="226">
        <v>180</v>
      </c>
      <c r="H55" s="227" t="s">
        <v>14</v>
      </c>
      <c r="I55" s="228" t="s">
        <v>15</v>
      </c>
      <c r="J55" s="228"/>
      <c r="K55" s="224" t="s">
        <v>16</v>
      </c>
      <c r="L55" s="228"/>
      <c r="M55" s="265"/>
      <c r="N55" s="230"/>
      <c r="O55" s="290"/>
      <c r="P55" s="342"/>
      <c r="Q55" s="13"/>
    </row>
    <row r="56" spans="1:17" ht="19.5" customHeight="1" thickBot="1" x14ac:dyDescent="0.35">
      <c r="A56" s="32"/>
      <c r="B56" s="222">
        <f t="shared" si="3"/>
        <v>2026</v>
      </c>
      <c r="C56" s="223">
        <f>C3</f>
        <v>4</v>
      </c>
      <c r="D56" s="224">
        <v>910</v>
      </c>
      <c r="E56" s="232">
        <v>46062</v>
      </c>
      <c r="F56" s="334">
        <v>4.9000000000000004</v>
      </c>
      <c r="G56" s="226">
        <v>118</v>
      </c>
      <c r="H56" s="227" t="s">
        <v>14</v>
      </c>
      <c r="I56" s="228" t="s">
        <v>15</v>
      </c>
      <c r="J56" s="228"/>
      <c r="K56" s="224" t="s">
        <v>16</v>
      </c>
      <c r="L56" s="228"/>
      <c r="M56" s="265"/>
      <c r="N56" s="230"/>
      <c r="O56" s="290"/>
      <c r="P56" s="342"/>
      <c r="Q56" s="13"/>
    </row>
    <row r="57" spans="1:17" ht="19.5" customHeight="1" thickBot="1" x14ac:dyDescent="0.35">
      <c r="A57" s="32"/>
      <c r="B57" s="222">
        <f t="shared" si="3"/>
        <v>2026</v>
      </c>
      <c r="C57" s="223">
        <f>C3</f>
        <v>4</v>
      </c>
      <c r="D57" s="224">
        <v>912</v>
      </c>
      <c r="E57" s="232">
        <v>46062</v>
      </c>
      <c r="F57" s="334">
        <v>5.5</v>
      </c>
      <c r="G57" s="226">
        <v>117</v>
      </c>
      <c r="H57" s="227" t="s">
        <v>14</v>
      </c>
      <c r="I57" s="228" t="s">
        <v>15</v>
      </c>
      <c r="J57" s="228"/>
      <c r="K57" s="224" t="s">
        <v>16</v>
      </c>
      <c r="L57" s="228"/>
      <c r="M57" s="265"/>
      <c r="N57" s="230"/>
      <c r="O57" s="290"/>
      <c r="P57" s="342"/>
      <c r="Q57" s="13"/>
    </row>
    <row r="58" spans="1:17" ht="19.5" customHeight="1" thickBot="1" x14ac:dyDescent="0.35">
      <c r="A58" s="32"/>
      <c r="B58" s="222">
        <f t="shared" si="3"/>
        <v>2026</v>
      </c>
      <c r="C58" s="223">
        <f>C3</f>
        <v>4</v>
      </c>
      <c r="D58" s="224">
        <v>914</v>
      </c>
      <c r="E58" s="232">
        <v>46062</v>
      </c>
      <c r="F58" s="334">
        <v>12.6</v>
      </c>
      <c r="G58" s="226">
        <v>200</v>
      </c>
      <c r="H58" s="227" t="s">
        <v>14</v>
      </c>
      <c r="I58" s="228" t="s">
        <v>24</v>
      </c>
      <c r="J58" s="228">
        <v>1</v>
      </c>
      <c r="K58" s="224" t="s">
        <v>16</v>
      </c>
      <c r="L58" s="228">
        <v>10</v>
      </c>
      <c r="M58" s="265">
        <v>10</v>
      </c>
      <c r="N58" s="230">
        <v>10</v>
      </c>
      <c r="O58" s="290">
        <v>0</v>
      </c>
      <c r="P58" s="342"/>
      <c r="Q58" s="13"/>
    </row>
    <row r="59" spans="1:17" ht="19.5" customHeight="1" thickBot="1" x14ac:dyDescent="0.35">
      <c r="A59" s="32"/>
      <c r="B59" s="222">
        <f t="shared" si="3"/>
        <v>2026</v>
      </c>
      <c r="C59" s="223">
        <f>C3</f>
        <v>4</v>
      </c>
      <c r="D59" s="224">
        <v>915</v>
      </c>
      <c r="E59" s="232">
        <v>46062</v>
      </c>
      <c r="F59" s="334">
        <v>3.2</v>
      </c>
      <c r="G59" s="226">
        <v>155</v>
      </c>
      <c r="H59" s="227" t="s">
        <v>14</v>
      </c>
      <c r="I59" s="228" t="s">
        <v>15</v>
      </c>
      <c r="J59" s="228"/>
      <c r="K59" s="224" t="s">
        <v>16</v>
      </c>
      <c r="L59" s="228"/>
      <c r="M59" s="265"/>
      <c r="N59" s="230"/>
      <c r="O59" s="290"/>
      <c r="P59" s="342"/>
      <c r="Q59" s="13"/>
    </row>
    <row r="60" spans="1:17" ht="19.5" customHeight="1" thickBot="1" x14ac:dyDescent="0.35">
      <c r="A60" s="32"/>
      <c r="B60" s="222">
        <f t="shared" si="3"/>
        <v>2026</v>
      </c>
      <c r="C60" s="223">
        <f>C3</f>
        <v>4</v>
      </c>
      <c r="D60" s="224">
        <v>918</v>
      </c>
      <c r="E60" s="232">
        <v>46064</v>
      </c>
      <c r="F60" s="334">
        <v>2.9</v>
      </c>
      <c r="G60" s="226">
        <v>180</v>
      </c>
      <c r="H60" s="227" t="s">
        <v>14</v>
      </c>
      <c r="I60" s="228" t="s">
        <v>15</v>
      </c>
      <c r="J60" s="228"/>
      <c r="K60" s="224" t="s">
        <v>16</v>
      </c>
      <c r="L60" s="228"/>
      <c r="M60" s="265"/>
      <c r="N60" s="230"/>
      <c r="O60" s="290"/>
      <c r="P60" s="342"/>
      <c r="Q60" s="13"/>
    </row>
    <row r="61" spans="1:17" ht="19.5" customHeight="1" thickBot="1" x14ac:dyDescent="0.35">
      <c r="A61" s="32"/>
      <c r="B61" s="233">
        <f t="shared" si="3"/>
        <v>2026</v>
      </c>
      <c r="C61" s="234">
        <f>C3</f>
        <v>4</v>
      </c>
      <c r="D61" s="235">
        <v>919</v>
      </c>
      <c r="E61" s="236">
        <v>46062</v>
      </c>
      <c r="F61" s="335">
        <v>3.7</v>
      </c>
      <c r="G61" s="237">
        <v>200</v>
      </c>
      <c r="H61" s="227" t="s">
        <v>14</v>
      </c>
      <c r="I61" s="238" t="s">
        <v>15</v>
      </c>
      <c r="J61" s="238"/>
      <c r="K61" s="235" t="s">
        <v>16</v>
      </c>
      <c r="L61" s="238"/>
      <c r="M61" s="266"/>
      <c r="N61" s="240"/>
      <c r="O61" s="291"/>
      <c r="P61" s="342"/>
      <c r="Q61" s="13"/>
    </row>
    <row r="62" spans="1:17" ht="19.5" customHeight="1" x14ac:dyDescent="0.3">
      <c r="A62" s="32"/>
      <c r="B62" s="4" t="s">
        <v>18</v>
      </c>
      <c r="C62" s="5"/>
      <c r="D62" s="5"/>
      <c r="E62" s="5"/>
      <c r="F62" s="354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2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2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29" ht="19.5" customHeight="1" x14ac:dyDescent="0.3">
      <c r="A65" s="32"/>
      <c r="B65" s="7" t="s">
        <v>41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18"/>
    </row>
    <row r="66" spans="1:29" ht="19.5" customHeight="1" x14ac:dyDescent="0.3">
      <c r="A66" s="32"/>
      <c r="B66" s="19"/>
      <c r="C66" s="19"/>
      <c r="D66" s="19"/>
      <c r="E66" s="19"/>
      <c r="F66" s="19"/>
      <c r="G66"/>
      <c r="H66"/>
      <c r="I66"/>
      <c r="J66"/>
      <c r="K66"/>
      <c r="L66"/>
      <c r="M66"/>
      <c r="N66"/>
      <c r="O66"/>
      <c r="P66"/>
      <c r="Q66" s="21"/>
      <c r="S66" s="24"/>
      <c r="T66" s="25"/>
      <c r="U66" s="24"/>
      <c r="V66" s="24"/>
      <c r="W66" s="23"/>
      <c r="X66" s="26"/>
      <c r="Y66" s="23"/>
      <c r="Z66" s="26"/>
      <c r="AA66" s="26"/>
      <c r="AB66" s="26"/>
      <c r="AC66" s="24"/>
    </row>
    <row r="67" spans="1:29" ht="19.5" customHeight="1" x14ac:dyDescent="0.3">
      <c r="G67"/>
      <c r="H67"/>
      <c r="I67"/>
      <c r="J67"/>
      <c r="K67"/>
      <c r="L67"/>
      <c r="M67"/>
      <c r="N67"/>
      <c r="O67"/>
      <c r="P67"/>
      <c r="Q67" s="28"/>
    </row>
    <row r="68" spans="1:29" ht="19.5" customHeight="1" x14ac:dyDescent="0.3">
      <c r="G68"/>
      <c r="H68"/>
      <c r="I68"/>
      <c r="J68"/>
      <c r="K68"/>
      <c r="L68"/>
      <c r="M68"/>
      <c r="N68"/>
      <c r="O68"/>
      <c r="P68"/>
      <c r="Q68" s="29"/>
    </row>
    <row r="69" spans="1:29" ht="19.5" customHeight="1" x14ac:dyDescent="0.3">
      <c r="G69"/>
      <c r="H69"/>
      <c r="I69"/>
      <c r="J69"/>
      <c r="K69"/>
      <c r="L69"/>
      <c r="M69"/>
      <c r="N69"/>
      <c r="O69"/>
      <c r="P69"/>
      <c r="Q69" s="30"/>
    </row>
    <row r="70" spans="1:29" ht="15" customHeight="1" x14ac:dyDescent="0.3">
      <c r="G70"/>
      <c r="H70"/>
      <c r="I70"/>
      <c r="J70"/>
      <c r="K70"/>
      <c r="L70"/>
      <c r="M70"/>
      <c r="N70"/>
      <c r="O70"/>
      <c r="P70"/>
    </row>
    <row r="71" spans="1:29" ht="15" customHeight="1" x14ac:dyDescent="0.3">
      <c r="G71"/>
      <c r="H71"/>
      <c r="I71"/>
      <c r="J71"/>
      <c r="K71"/>
      <c r="L71"/>
      <c r="M71"/>
      <c r="N71"/>
      <c r="O71"/>
      <c r="P71"/>
      <c r="Q71" s="19"/>
    </row>
    <row r="72" spans="1:29" ht="15" customHeight="1" x14ac:dyDescent="0.3">
      <c r="G72"/>
      <c r="H72"/>
      <c r="I72"/>
      <c r="J72"/>
      <c r="K72"/>
      <c r="L72"/>
      <c r="M72"/>
      <c r="N72"/>
      <c r="O72"/>
      <c r="P72"/>
      <c r="Q72" s="19"/>
    </row>
    <row r="73" spans="1:29" ht="15" customHeight="1" x14ac:dyDescent="0.3">
      <c r="G73"/>
      <c r="H73"/>
      <c r="I73"/>
      <c r="J73"/>
      <c r="K73"/>
      <c r="L73"/>
      <c r="M73"/>
      <c r="N73"/>
      <c r="O73"/>
      <c r="P73"/>
      <c r="Q73" s="19"/>
    </row>
    <row r="74" spans="1:29" ht="15" customHeight="1" x14ac:dyDescent="0.3">
      <c r="G74"/>
      <c r="H74"/>
      <c r="I74"/>
      <c r="J74"/>
      <c r="K74"/>
      <c r="L74"/>
      <c r="M74"/>
      <c r="N74"/>
      <c r="O74"/>
      <c r="P74"/>
      <c r="Q74" s="19"/>
    </row>
    <row r="75" spans="1:29" ht="15" customHeight="1" x14ac:dyDescent="0.3">
      <c r="G75"/>
      <c r="H75"/>
      <c r="I75"/>
      <c r="J75"/>
      <c r="K75"/>
      <c r="L75"/>
      <c r="M75"/>
      <c r="N75"/>
      <c r="O75"/>
      <c r="P75"/>
    </row>
    <row r="76" spans="1:29" ht="15" customHeight="1" x14ac:dyDescent="0.3">
      <c r="G76"/>
      <c r="H76"/>
      <c r="I76"/>
      <c r="J76"/>
      <c r="K76"/>
      <c r="L76"/>
      <c r="M76"/>
      <c r="N76"/>
      <c r="O76"/>
      <c r="P76"/>
    </row>
    <row r="77" spans="1:29" ht="15" customHeight="1" x14ac:dyDescent="0.3">
      <c r="G77"/>
      <c r="H77"/>
      <c r="I77"/>
      <c r="J77"/>
      <c r="K77"/>
      <c r="L77"/>
      <c r="M77"/>
      <c r="N77"/>
      <c r="O77"/>
      <c r="P77"/>
    </row>
    <row r="78" spans="1:29" ht="14.4" x14ac:dyDescent="0.3">
      <c r="G78"/>
      <c r="H78"/>
      <c r="I78"/>
      <c r="J78"/>
      <c r="K78"/>
      <c r="L78"/>
      <c r="M78"/>
      <c r="N78"/>
      <c r="O78"/>
      <c r="P78"/>
    </row>
    <row r="79" spans="1:29" ht="14.4" x14ac:dyDescent="0.3">
      <c r="G79"/>
      <c r="H79"/>
      <c r="I79"/>
      <c r="J79"/>
      <c r="K79"/>
      <c r="L79"/>
      <c r="M79"/>
      <c r="N79"/>
      <c r="O79"/>
      <c r="P79"/>
    </row>
    <row r="80" spans="1:29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  <row r="82" spans="7:16" ht="14.4" x14ac:dyDescent="0.3">
      <c r="G82"/>
      <c r="H82"/>
      <c r="I82"/>
      <c r="J82"/>
      <c r="K82"/>
      <c r="L82"/>
      <c r="M82"/>
      <c r="N82"/>
      <c r="O82"/>
      <c r="P82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abSelected="1" workbookViewId="0">
      <selection activeCell="Q2" sqref="Q2"/>
    </sheetView>
  </sheetViews>
  <sheetFormatPr defaultColWidth="9.109375" defaultRowHeight="13.2" x14ac:dyDescent="0.25"/>
  <cols>
    <col min="1" max="1" width="3.5546875" style="19" customWidth="1"/>
    <col min="2" max="2" width="5.88671875" style="14" customWidth="1"/>
    <col min="3" max="3" width="7.6640625" style="14" customWidth="1"/>
    <col min="4" max="4" width="8.109375" style="14" customWidth="1"/>
    <col min="5" max="5" width="8.5546875" style="14" customWidth="1"/>
    <col min="6" max="6" width="9.5546875" style="14" customWidth="1"/>
    <col min="7" max="7" width="8.109375" style="14" bestFit="1" customWidth="1"/>
    <col min="8" max="8" width="13.6640625" style="27" customWidth="1"/>
    <col min="9" max="9" width="15" style="14" customWidth="1"/>
    <col min="10" max="10" width="8.6640625" style="14" customWidth="1"/>
    <col min="11" max="11" width="11.109375" style="14" customWidth="1"/>
    <col min="12" max="12" width="7.5546875" style="14" customWidth="1"/>
    <col min="13" max="14" width="7.109375" style="22" customWidth="1"/>
    <col min="15" max="15" width="11" style="22" customWidth="1"/>
    <col min="16" max="16" width="7.6640625" style="14" customWidth="1"/>
    <col min="17" max="17" width="9.109375" style="14" customWidth="1"/>
    <col min="18" max="18" width="6" style="14" customWidth="1"/>
    <col min="19" max="16384" width="9.109375" style="14"/>
  </cols>
  <sheetData>
    <row r="1" spans="1:17" ht="11.25" customHeight="1" thickBot="1" x14ac:dyDescent="0.3">
      <c r="A1" s="20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5">
      <c r="A2" s="340"/>
      <c r="B2" s="33" t="s">
        <v>0</v>
      </c>
      <c r="C2" s="33" t="s">
        <v>29</v>
      </c>
      <c r="D2" s="33" t="s">
        <v>30</v>
      </c>
      <c r="E2" s="33" t="s">
        <v>9</v>
      </c>
      <c r="F2" s="34" t="s">
        <v>11</v>
      </c>
      <c r="G2" s="33" t="s">
        <v>8</v>
      </c>
      <c r="H2" s="33" t="s">
        <v>1</v>
      </c>
      <c r="I2" s="33" t="s">
        <v>2</v>
      </c>
      <c r="J2" s="33" t="s">
        <v>3</v>
      </c>
      <c r="K2" s="33" t="s">
        <v>7</v>
      </c>
      <c r="L2" s="33" t="s">
        <v>4</v>
      </c>
      <c r="M2" s="35" t="s">
        <v>5</v>
      </c>
      <c r="N2" s="36" t="s">
        <v>6</v>
      </c>
      <c r="O2" s="37" t="s">
        <v>10</v>
      </c>
      <c r="P2" s="15"/>
      <c r="Q2" s="16"/>
    </row>
    <row r="3" spans="1:17" ht="19.5" customHeight="1" thickBot="1" x14ac:dyDescent="0.35">
      <c r="A3" s="341"/>
      <c r="B3" s="38">
        <f>'[1]Survey 12'!B3</f>
        <v>2026</v>
      </c>
      <c r="C3" s="38">
        <v>5</v>
      </c>
      <c r="D3" s="38">
        <v>306</v>
      </c>
      <c r="E3" s="39"/>
      <c r="F3" s="317"/>
      <c r="G3" s="40"/>
      <c r="H3" s="38"/>
      <c r="I3" s="41"/>
      <c r="J3" s="40"/>
      <c r="K3" s="38"/>
      <c r="L3" s="40"/>
      <c r="M3" s="242"/>
      <c r="N3" s="43"/>
      <c r="O3" s="267"/>
      <c r="P3" s="343" t="s">
        <v>31</v>
      </c>
      <c r="Q3" s="13"/>
    </row>
    <row r="4" spans="1:17" ht="19.5" customHeight="1" thickBot="1" x14ac:dyDescent="0.35">
      <c r="A4" s="341"/>
      <c r="B4" s="45">
        <f>B3</f>
        <v>2026</v>
      </c>
      <c r="C4" s="46">
        <f>C3</f>
        <v>5</v>
      </c>
      <c r="D4" s="47">
        <v>308</v>
      </c>
      <c r="E4" s="48"/>
      <c r="F4" s="53"/>
      <c r="G4" s="49"/>
      <c r="H4" s="50"/>
      <c r="I4" s="51"/>
      <c r="J4" s="49"/>
      <c r="K4" s="47"/>
      <c r="L4" s="49"/>
      <c r="M4" s="243"/>
      <c r="N4" s="53"/>
      <c r="O4" s="268"/>
      <c r="P4" s="343"/>
      <c r="Q4" s="13"/>
    </row>
    <row r="5" spans="1:17" ht="19.5" customHeight="1" thickBot="1" x14ac:dyDescent="0.35">
      <c r="A5" s="341"/>
      <c r="B5" s="45">
        <f t="shared" ref="B5:C15" si="0">B4</f>
        <v>2026</v>
      </c>
      <c r="C5" s="46">
        <f t="shared" si="0"/>
        <v>5</v>
      </c>
      <c r="D5" s="45">
        <v>311</v>
      </c>
      <c r="E5" s="55"/>
      <c r="F5" s="60"/>
      <c r="G5" s="56"/>
      <c r="H5" s="57"/>
      <c r="I5" s="58"/>
      <c r="J5" s="56"/>
      <c r="K5" s="45"/>
      <c r="L5" s="56"/>
      <c r="M5" s="244"/>
      <c r="N5" s="60"/>
      <c r="O5" s="269"/>
      <c r="P5" s="343"/>
      <c r="Q5" s="13"/>
    </row>
    <row r="6" spans="1:17" ht="19.5" customHeight="1" thickBot="1" x14ac:dyDescent="0.35">
      <c r="A6" s="341"/>
      <c r="B6" s="45">
        <f t="shared" si="0"/>
        <v>2026</v>
      </c>
      <c r="C6" s="46">
        <f t="shared" si="0"/>
        <v>5</v>
      </c>
      <c r="D6" s="45">
        <v>315</v>
      </c>
      <c r="E6" s="55">
        <v>46077</v>
      </c>
      <c r="F6" s="60">
        <v>9.4</v>
      </c>
      <c r="G6" s="56">
        <v>64</v>
      </c>
      <c r="H6" s="57" t="s">
        <v>14</v>
      </c>
      <c r="I6" s="58" t="s">
        <v>24</v>
      </c>
      <c r="J6" s="56">
        <v>26</v>
      </c>
      <c r="K6" s="45" t="s">
        <v>16</v>
      </c>
      <c r="L6" s="56">
        <v>7</v>
      </c>
      <c r="M6" s="244">
        <v>11</v>
      </c>
      <c r="N6" s="60">
        <v>8.6</v>
      </c>
      <c r="O6" s="269">
        <v>8</v>
      </c>
      <c r="P6" s="343"/>
      <c r="Q6" s="13"/>
    </row>
    <row r="7" spans="1:17" ht="19.5" customHeight="1" thickBot="1" x14ac:dyDescent="0.35">
      <c r="A7" s="341"/>
      <c r="B7" s="45">
        <f t="shared" si="0"/>
        <v>2026</v>
      </c>
      <c r="C7" s="46">
        <f t="shared" si="0"/>
        <v>5</v>
      </c>
      <c r="D7" s="45">
        <v>322</v>
      </c>
      <c r="E7" s="55"/>
      <c r="F7" s="60"/>
      <c r="G7" s="56"/>
      <c r="H7" s="57"/>
      <c r="I7" s="58"/>
      <c r="J7" s="56"/>
      <c r="K7" s="45"/>
      <c r="L7" s="56"/>
      <c r="M7" s="244"/>
      <c r="N7" s="60"/>
      <c r="O7" s="269"/>
      <c r="P7" s="343"/>
      <c r="Q7" s="13"/>
    </row>
    <row r="8" spans="1:17" ht="19.5" customHeight="1" thickBot="1" x14ac:dyDescent="0.35">
      <c r="A8" s="341"/>
      <c r="B8" s="45">
        <f t="shared" si="0"/>
        <v>2026</v>
      </c>
      <c r="C8" s="46">
        <f t="shared" si="0"/>
        <v>5</v>
      </c>
      <c r="D8" s="45">
        <v>323</v>
      </c>
      <c r="E8" s="55"/>
      <c r="F8" s="60"/>
      <c r="G8" s="56"/>
      <c r="H8" s="57"/>
      <c r="I8" s="58"/>
      <c r="J8" s="56"/>
      <c r="K8" s="45"/>
      <c r="L8" s="56"/>
      <c r="M8" s="244"/>
      <c r="N8" s="60"/>
      <c r="O8" s="269"/>
      <c r="P8" s="343"/>
      <c r="Q8" s="13"/>
    </row>
    <row r="9" spans="1:17" ht="19.5" customHeight="1" thickBot="1" x14ac:dyDescent="0.35">
      <c r="A9" s="341"/>
      <c r="B9" s="45">
        <f t="shared" si="0"/>
        <v>2026</v>
      </c>
      <c r="C9" s="46">
        <f t="shared" si="0"/>
        <v>5</v>
      </c>
      <c r="D9" s="45">
        <v>327</v>
      </c>
      <c r="E9" s="55"/>
      <c r="F9" s="60"/>
      <c r="G9" s="56"/>
      <c r="H9" s="57"/>
      <c r="I9" s="58"/>
      <c r="J9" s="56"/>
      <c r="K9" s="45"/>
      <c r="L9" s="56"/>
      <c r="M9" s="244"/>
      <c r="N9" s="60"/>
      <c r="O9" s="269"/>
      <c r="P9" s="343"/>
      <c r="Q9" s="13"/>
    </row>
    <row r="10" spans="1:17" ht="19.5" customHeight="1" thickBot="1" x14ac:dyDescent="0.35">
      <c r="A10" s="341"/>
      <c r="B10" s="45">
        <f t="shared" si="0"/>
        <v>2026</v>
      </c>
      <c r="C10" s="46">
        <f t="shared" si="0"/>
        <v>5</v>
      </c>
      <c r="D10" s="45">
        <v>328</v>
      </c>
      <c r="E10" s="55"/>
      <c r="F10" s="60"/>
      <c r="G10" s="56"/>
      <c r="H10" s="57"/>
      <c r="I10" s="58"/>
      <c r="J10" s="56"/>
      <c r="K10" s="45"/>
      <c r="L10" s="56"/>
      <c r="M10" s="244"/>
      <c r="N10" s="60"/>
      <c r="O10" s="269"/>
      <c r="P10" s="343"/>
      <c r="Q10" s="13"/>
    </row>
    <row r="11" spans="1:17" ht="19.5" customHeight="1" thickBot="1" x14ac:dyDescent="0.35">
      <c r="A11" s="341"/>
      <c r="B11" s="45">
        <f t="shared" si="0"/>
        <v>2026</v>
      </c>
      <c r="C11" s="46">
        <f t="shared" si="0"/>
        <v>5</v>
      </c>
      <c r="D11" s="45">
        <v>329</v>
      </c>
      <c r="E11" s="55"/>
      <c r="F11" s="60"/>
      <c r="G11" s="56"/>
      <c r="H11" s="57"/>
      <c r="I11" s="58"/>
      <c r="J11" s="56"/>
      <c r="K11" s="45"/>
      <c r="L11" s="56"/>
      <c r="M11" s="244"/>
      <c r="N11" s="60"/>
      <c r="O11" s="269"/>
      <c r="P11" s="343"/>
      <c r="Q11" s="13"/>
    </row>
    <row r="12" spans="1:17" ht="19.5" customHeight="1" thickBot="1" x14ac:dyDescent="0.35">
      <c r="A12" s="341"/>
      <c r="B12" s="45">
        <f t="shared" si="0"/>
        <v>2026</v>
      </c>
      <c r="C12" s="46">
        <f t="shared" si="0"/>
        <v>5</v>
      </c>
      <c r="D12" s="45">
        <v>330</v>
      </c>
      <c r="E12" s="55"/>
      <c r="F12" s="60"/>
      <c r="G12" s="56"/>
      <c r="H12" s="57"/>
      <c r="I12" s="58"/>
      <c r="J12" s="56"/>
      <c r="K12" s="45"/>
      <c r="L12" s="56"/>
      <c r="M12" s="244"/>
      <c r="N12" s="60"/>
      <c r="O12" s="269"/>
      <c r="P12" s="343"/>
      <c r="Q12" s="13"/>
    </row>
    <row r="13" spans="1:17" ht="19.5" customHeight="1" thickBot="1" x14ac:dyDescent="0.35">
      <c r="A13" s="341"/>
      <c r="B13" s="45">
        <f t="shared" si="0"/>
        <v>2026</v>
      </c>
      <c r="C13" s="46">
        <f t="shared" si="0"/>
        <v>5</v>
      </c>
      <c r="D13" s="45">
        <v>335</v>
      </c>
      <c r="E13" s="55"/>
      <c r="F13" s="60"/>
      <c r="G13" s="56"/>
      <c r="H13" s="57"/>
      <c r="I13" s="58"/>
      <c r="J13" s="56"/>
      <c r="K13" s="45"/>
      <c r="L13" s="56"/>
      <c r="M13" s="244"/>
      <c r="N13" s="60"/>
      <c r="O13" s="269"/>
      <c r="P13" s="343"/>
      <c r="Q13" s="13"/>
    </row>
    <row r="14" spans="1:17" ht="19.5" customHeight="1" thickBot="1" x14ac:dyDescent="0.35">
      <c r="A14" s="341"/>
      <c r="B14" s="45">
        <f t="shared" si="0"/>
        <v>2026</v>
      </c>
      <c r="C14" s="46">
        <f t="shared" si="0"/>
        <v>5</v>
      </c>
      <c r="D14" s="45">
        <v>336</v>
      </c>
      <c r="E14" s="55"/>
      <c r="F14" s="60"/>
      <c r="G14" s="56"/>
      <c r="H14" s="57"/>
      <c r="I14" s="58"/>
      <c r="J14" s="56"/>
      <c r="K14" s="45"/>
      <c r="L14" s="56"/>
      <c r="M14" s="244"/>
      <c r="N14" s="60"/>
      <c r="O14" s="269"/>
      <c r="P14" s="343"/>
      <c r="Q14" s="13"/>
    </row>
    <row r="15" spans="1:17" ht="19.5" customHeight="1" thickBot="1" x14ac:dyDescent="0.35">
      <c r="A15" s="341"/>
      <c r="B15" s="62">
        <f>B14</f>
        <v>2026</v>
      </c>
      <c r="C15" s="46">
        <f t="shared" si="0"/>
        <v>5</v>
      </c>
      <c r="D15" s="62">
        <v>338</v>
      </c>
      <c r="E15" s="63"/>
      <c r="F15" s="67"/>
      <c r="G15" s="64"/>
      <c r="H15" s="57"/>
      <c r="I15" s="65"/>
      <c r="J15" s="64"/>
      <c r="K15" s="62"/>
      <c r="L15" s="64"/>
      <c r="M15" s="245"/>
      <c r="N15" s="67"/>
      <c r="O15" s="270"/>
      <c r="P15" s="343"/>
      <c r="Q15" s="13"/>
    </row>
    <row r="16" spans="1:17" ht="19.5" customHeight="1" x14ac:dyDescent="0.3">
      <c r="A16" s="341"/>
      <c r="B16" s="69">
        <f>B15</f>
        <v>2026</v>
      </c>
      <c r="C16" s="70">
        <f>C3</f>
        <v>5</v>
      </c>
      <c r="D16" s="69">
        <v>340</v>
      </c>
      <c r="E16" s="71">
        <v>46076</v>
      </c>
      <c r="F16" s="318">
        <v>27.6</v>
      </c>
      <c r="G16" s="72">
        <v>39</v>
      </c>
      <c r="H16" s="69" t="s">
        <v>14</v>
      </c>
      <c r="I16" s="73" t="s">
        <v>24</v>
      </c>
      <c r="J16" s="73">
        <v>139</v>
      </c>
      <c r="K16" s="69" t="s">
        <v>16</v>
      </c>
      <c r="L16" s="73">
        <v>6</v>
      </c>
      <c r="M16" s="246">
        <v>14</v>
      </c>
      <c r="N16" s="75">
        <v>8.82</v>
      </c>
      <c r="O16" s="271">
        <v>43</v>
      </c>
      <c r="P16" s="344" t="s">
        <v>12</v>
      </c>
      <c r="Q16" s="13"/>
    </row>
    <row r="17" spans="1:17" ht="19.5" customHeight="1" x14ac:dyDescent="0.3">
      <c r="A17" s="341"/>
      <c r="B17" s="77">
        <f>B16</f>
        <v>2026</v>
      </c>
      <c r="C17" s="77">
        <f>C3</f>
        <v>5</v>
      </c>
      <c r="D17" s="78">
        <v>342</v>
      </c>
      <c r="E17" s="79"/>
      <c r="F17" s="319"/>
      <c r="G17" s="80"/>
      <c r="H17" s="78"/>
      <c r="I17" s="81"/>
      <c r="J17" s="81"/>
      <c r="K17" s="78"/>
      <c r="L17" s="81"/>
      <c r="M17" s="247"/>
      <c r="N17" s="83"/>
      <c r="O17" s="272"/>
      <c r="P17" s="345"/>
      <c r="Q17" s="13"/>
    </row>
    <row r="18" spans="1:17" ht="19.5" customHeight="1" x14ac:dyDescent="0.3">
      <c r="A18" s="341"/>
      <c r="B18" s="77">
        <f t="shared" ref="B18:B19" si="1">B17</f>
        <v>2026</v>
      </c>
      <c r="C18" s="77">
        <f>C3</f>
        <v>5</v>
      </c>
      <c r="D18" s="78">
        <v>343</v>
      </c>
      <c r="E18" s="79">
        <v>46078</v>
      </c>
      <c r="F18" s="319">
        <v>15.6</v>
      </c>
      <c r="G18" s="80">
        <v>37</v>
      </c>
      <c r="H18" s="78" t="s">
        <v>14</v>
      </c>
      <c r="I18" s="81" t="s">
        <v>24</v>
      </c>
      <c r="J18" s="81">
        <v>141</v>
      </c>
      <c r="K18" s="78" t="s">
        <v>16</v>
      </c>
      <c r="L18" s="81">
        <v>6</v>
      </c>
      <c r="M18" s="247">
        <v>10</v>
      </c>
      <c r="N18" s="83"/>
      <c r="O18" s="272">
        <v>47</v>
      </c>
      <c r="P18" s="345"/>
      <c r="Q18" s="13"/>
    </row>
    <row r="19" spans="1:17" ht="19.5" customHeight="1" x14ac:dyDescent="0.3">
      <c r="A19" s="341"/>
      <c r="B19" s="77">
        <f t="shared" si="1"/>
        <v>2026</v>
      </c>
      <c r="C19" s="77">
        <f>C4</f>
        <v>5</v>
      </c>
      <c r="D19" s="78">
        <v>344</v>
      </c>
      <c r="E19" s="79">
        <v>46078</v>
      </c>
      <c r="F19" s="319">
        <v>32.200000000000003</v>
      </c>
      <c r="G19" s="80">
        <v>25</v>
      </c>
      <c r="H19" s="78" t="s">
        <v>14</v>
      </c>
      <c r="I19" s="81" t="s">
        <v>24</v>
      </c>
      <c r="J19" s="81">
        <v>112</v>
      </c>
      <c r="K19" s="78" t="s">
        <v>16</v>
      </c>
      <c r="L19" s="81">
        <v>6</v>
      </c>
      <c r="M19" s="247">
        <v>17</v>
      </c>
      <c r="N19" s="83"/>
      <c r="O19" s="272">
        <v>14</v>
      </c>
      <c r="P19" s="345"/>
      <c r="Q19" s="13"/>
    </row>
    <row r="20" spans="1:17" ht="19.5" customHeight="1" x14ac:dyDescent="0.3">
      <c r="A20" s="341"/>
      <c r="B20" s="77">
        <f>B19</f>
        <v>2026</v>
      </c>
      <c r="C20" s="77">
        <f>C5</f>
        <v>5</v>
      </c>
      <c r="D20" s="78">
        <v>345</v>
      </c>
      <c r="E20" s="79"/>
      <c r="F20" s="319"/>
      <c r="G20" s="80"/>
      <c r="H20" s="78"/>
      <c r="I20" s="81"/>
      <c r="J20" s="81"/>
      <c r="K20" s="78"/>
      <c r="L20" s="81"/>
      <c r="M20" s="247"/>
      <c r="N20" s="83"/>
      <c r="O20" s="272"/>
      <c r="P20" s="345"/>
      <c r="Q20" s="13"/>
    </row>
    <row r="21" spans="1:17" ht="19.5" customHeight="1" x14ac:dyDescent="0.3">
      <c r="A21" s="341"/>
      <c r="B21" s="85">
        <f>B20</f>
        <v>2026</v>
      </c>
      <c r="C21" s="85">
        <f>C6</f>
        <v>5</v>
      </c>
      <c r="D21" s="86">
        <v>346</v>
      </c>
      <c r="E21" s="79"/>
      <c r="F21" s="319"/>
      <c r="G21" s="80"/>
      <c r="H21" s="78"/>
      <c r="I21" s="81"/>
      <c r="J21" s="81"/>
      <c r="K21" s="78"/>
      <c r="L21" s="81"/>
      <c r="M21" s="247"/>
      <c r="N21" s="83"/>
      <c r="O21" s="272"/>
      <c r="P21" s="345"/>
      <c r="Q21" s="13"/>
    </row>
    <row r="22" spans="1:17" ht="19.5" customHeight="1" x14ac:dyDescent="0.3">
      <c r="A22" s="341"/>
      <c r="B22" s="87">
        <f t="shared" ref="B22" si="2">B21</f>
        <v>2026</v>
      </c>
      <c r="C22" s="77">
        <f>C7</f>
        <v>5</v>
      </c>
      <c r="D22" s="78">
        <v>347</v>
      </c>
      <c r="E22" s="88">
        <v>46078</v>
      </c>
      <c r="F22" s="320">
        <v>13.5</v>
      </c>
      <c r="G22" s="80">
        <v>60</v>
      </c>
      <c r="H22" s="78" t="s">
        <v>14</v>
      </c>
      <c r="I22" s="81" t="s">
        <v>24</v>
      </c>
      <c r="J22" s="81">
        <v>1</v>
      </c>
      <c r="K22" s="78" t="s">
        <v>16</v>
      </c>
      <c r="L22" s="81"/>
      <c r="M22" s="247"/>
      <c r="N22" s="83"/>
      <c r="O22" s="272"/>
      <c r="P22" s="345"/>
      <c r="Q22" s="13"/>
    </row>
    <row r="23" spans="1:17" ht="19.5" customHeight="1" x14ac:dyDescent="0.3">
      <c r="A23" s="341"/>
      <c r="B23" s="77">
        <f>B22</f>
        <v>2026</v>
      </c>
      <c r="C23" s="89">
        <f>C5</f>
        <v>5</v>
      </c>
      <c r="D23" s="90">
        <v>348</v>
      </c>
      <c r="E23" s="79"/>
      <c r="F23" s="319"/>
      <c r="G23" s="80"/>
      <c r="H23" s="78"/>
      <c r="I23" s="81"/>
      <c r="J23" s="81"/>
      <c r="K23" s="78"/>
      <c r="L23" s="81"/>
      <c r="M23" s="247"/>
      <c r="N23" s="91"/>
      <c r="O23" s="273"/>
      <c r="P23" s="345"/>
      <c r="Q23" s="13"/>
    </row>
    <row r="24" spans="1:17" ht="19.5" customHeight="1" thickBot="1" x14ac:dyDescent="0.35">
      <c r="A24" s="341"/>
      <c r="B24" s="93">
        <f>B23</f>
        <v>2026</v>
      </c>
      <c r="C24" s="85">
        <f>C6</f>
        <v>5</v>
      </c>
      <c r="D24" s="94">
        <v>349</v>
      </c>
      <c r="E24" s="95">
        <v>46078</v>
      </c>
      <c r="F24" s="321">
        <v>10.4</v>
      </c>
      <c r="G24" s="96">
        <v>52</v>
      </c>
      <c r="H24" s="94" t="s">
        <v>14</v>
      </c>
      <c r="I24" s="97" t="s">
        <v>15</v>
      </c>
      <c r="J24" s="97"/>
      <c r="K24" s="94" t="s">
        <v>16</v>
      </c>
      <c r="L24" s="97"/>
      <c r="M24" s="248"/>
      <c r="N24" s="99"/>
      <c r="O24" s="274"/>
      <c r="P24" s="346"/>
      <c r="Q24" s="13"/>
    </row>
    <row r="25" spans="1:17" ht="19.5" customHeight="1" thickBot="1" x14ac:dyDescent="0.35">
      <c r="A25" s="341"/>
      <c r="B25" s="101">
        <f>B24</f>
        <v>2026</v>
      </c>
      <c r="C25" s="102">
        <f>C3</f>
        <v>5</v>
      </c>
      <c r="D25" s="101">
        <v>401</v>
      </c>
      <c r="E25" s="103"/>
      <c r="F25" s="322"/>
      <c r="G25" s="104"/>
      <c r="H25" s="101"/>
      <c r="I25" s="105"/>
      <c r="J25" s="105"/>
      <c r="K25" s="101"/>
      <c r="L25" s="105"/>
      <c r="M25" s="249"/>
      <c r="N25" s="107"/>
      <c r="O25" s="275"/>
      <c r="P25" s="347" t="s">
        <v>32</v>
      </c>
      <c r="Q25" s="13"/>
    </row>
    <row r="26" spans="1:17" ht="19.5" customHeight="1" thickBot="1" x14ac:dyDescent="0.35">
      <c r="A26" s="341"/>
      <c r="B26" s="101">
        <f t="shared" ref="B26:B61" si="3">B25</f>
        <v>2026</v>
      </c>
      <c r="C26" s="109">
        <f>C3</f>
        <v>5</v>
      </c>
      <c r="D26" s="110">
        <v>404</v>
      </c>
      <c r="E26" s="111">
        <v>46076</v>
      </c>
      <c r="F26" s="322">
        <v>51.1</v>
      </c>
      <c r="G26" s="104">
        <v>25</v>
      </c>
      <c r="H26" s="110" t="s">
        <v>14</v>
      </c>
      <c r="I26" s="112" t="s">
        <v>24</v>
      </c>
      <c r="J26" s="112">
        <v>96</v>
      </c>
      <c r="K26" s="110" t="s">
        <v>16</v>
      </c>
      <c r="L26" s="112">
        <v>6</v>
      </c>
      <c r="M26" s="250">
        <v>13</v>
      </c>
      <c r="N26" s="114"/>
      <c r="O26" s="276">
        <v>64</v>
      </c>
      <c r="P26" s="347"/>
      <c r="Q26" s="13"/>
    </row>
    <row r="27" spans="1:17" ht="19.5" customHeight="1" thickBot="1" x14ac:dyDescent="0.35">
      <c r="A27" s="341"/>
      <c r="B27" s="116">
        <f t="shared" si="3"/>
        <v>2026</v>
      </c>
      <c r="C27" s="116">
        <f>C3</f>
        <v>5</v>
      </c>
      <c r="D27" s="117" t="s">
        <v>42</v>
      </c>
      <c r="E27" s="118">
        <v>46076</v>
      </c>
      <c r="F27" s="121">
        <v>130.4</v>
      </c>
      <c r="G27" s="119">
        <v>17</v>
      </c>
      <c r="H27" s="117" t="s">
        <v>14</v>
      </c>
      <c r="I27" s="119" t="s">
        <v>24</v>
      </c>
      <c r="J27" s="119">
        <v>22</v>
      </c>
      <c r="K27" s="117" t="s">
        <v>16</v>
      </c>
      <c r="L27" s="119">
        <v>6</v>
      </c>
      <c r="M27" s="251">
        <v>11</v>
      </c>
      <c r="N27" s="121">
        <v>8.1818181818181799</v>
      </c>
      <c r="O27" s="277">
        <v>8</v>
      </c>
      <c r="P27" s="347"/>
      <c r="Q27" s="13"/>
    </row>
    <row r="28" spans="1:17" ht="19.5" customHeight="1" thickBot="1" x14ac:dyDescent="0.35">
      <c r="A28" s="341"/>
      <c r="B28" s="123">
        <f t="shared" si="3"/>
        <v>2026</v>
      </c>
      <c r="C28" s="123">
        <f>C3</f>
        <v>5</v>
      </c>
      <c r="D28" s="124">
        <v>411</v>
      </c>
      <c r="E28" s="125"/>
      <c r="F28" s="128"/>
      <c r="G28" s="126"/>
      <c r="H28" s="124"/>
      <c r="I28" s="126"/>
      <c r="J28" s="126"/>
      <c r="K28" s="124"/>
      <c r="L28" s="126"/>
      <c r="M28" s="252"/>
      <c r="N28" s="128"/>
      <c r="O28" s="278"/>
      <c r="P28" s="348" t="s">
        <v>33</v>
      </c>
      <c r="Q28" s="13"/>
    </row>
    <row r="29" spans="1:17" ht="19.5" customHeight="1" thickBot="1" x14ac:dyDescent="0.35">
      <c r="A29" s="341"/>
      <c r="B29" s="130">
        <f t="shared" si="3"/>
        <v>2026</v>
      </c>
      <c r="C29" s="130">
        <f>C3</f>
        <v>5</v>
      </c>
      <c r="D29" s="131">
        <v>418</v>
      </c>
      <c r="E29" s="132">
        <v>46076</v>
      </c>
      <c r="F29" s="135">
        <v>32.9</v>
      </c>
      <c r="G29" s="133">
        <v>38</v>
      </c>
      <c r="H29" s="131" t="s">
        <v>14</v>
      </c>
      <c r="I29" s="133" t="s">
        <v>24</v>
      </c>
      <c r="J29" s="133">
        <v>65</v>
      </c>
      <c r="K29" s="131" t="s">
        <v>16</v>
      </c>
      <c r="L29" s="133">
        <v>6</v>
      </c>
      <c r="M29" s="253">
        <v>15</v>
      </c>
      <c r="N29" s="135">
        <v>8.1551724137930997</v>
      </c>
      <c r="O29" s="279">
        <v>37</v>
      </c>
      <c r="P29" s="348"/>
      <c r="Q29" s="13"/>
    </row>
    <row r="30" spans="1:17" ht="19.5" customHeight="1" thickBot="1" x14ac:dyDescent="0.35">
      <c r="A30" s="341"/>
      <c r="B30" s="130">
        <f t="shared" si="3"/>
        <v>2026</v>
      </c>
      <c r="C30" s="130">
        <f>C3</f>
        <v>5</v>
      </c>
      <c r="D30" s="131">
        <v>501</v>
      </c>
      <c r="E30" s="137">
        <v>46078</v>
      </c>
      <c r="F30" s="323">
        <v>18.899999999999999</v>
      </c>
      <c r="G30" s="138">
        <v>42</v>
      </c>
      <c r="H30" s="131" t="s">
        <v>14</v>
      </c>
      <c r="I30" s="133" t="s">
        <v>24</v>
      </c>
      <c r="J30" s="133">
        <v>43</v>
      </c>
      <c r="K30" s="131" t="s">
        <v>16</v>
      </c>
      <c r="L30" s="133">
        <v>6</v>
      </c>
      <c r="M30" s="253">
        <v>11</v>
      </c>
      <c r="N30" s="135">
        <v>7.4722222222222197</v>
      </c>
      <c r="O30" s="279">
        <v>23</v>
      </c>
      <c r="P30" s="348"/>
      <c r="Q30" s="13"/>
    </row>
    <row r="31" spans="1:17" ht="19.5" customHeight="1" thickBot="1" x14ac:dyDescent="0.35">
      <c r="A31" s="341"/>
      <c r="B31" s="130">
        <f t="shared" si="3"/>
        <v>2026</v>
      </c>
      <c r="C31" s="130">
        <f>C3</f>
        <v>5</v>
      </c>
      <c r="D31" s="131">
        <v>504</v>
      </c>
      <c r="E31" s="132"/>
      <c r="F31" s="135"/>
      <c r="G31" s="133"/>
      <c r="H31" s="131"/>
      <c r="I31" s="133"/>
      <c r="J31" s="133"/>
      <c r="K31" s="131"/>
      <c r="L31" s="133"/>
      <c r="M31" s="253"/>
      <c r="N31" s="135"/>
      <c r="O31" s="279"/>
      <c r="P31" s="348"/>
      <c r="Q31" s="13"/>
    </row>
    <row r="32" spans="1:17" ht="19.5" customHeight="1" thickBot="1" x14ac:dyDescent="0.35">
      <c r="A32" s="341"/>
      <c r="B32" s="130">
        <f t="shared" si="3"/>
        <v>2026</v>
      </c>
      <c r="C32" s="130">
        <f>C3</f>
        <v>5</v>
      </c>
      <c r="D32" s="131">
        <v>519</v>
      </c>
      <c r="E32" s="132">
        <v>46078</v>
      </c>
      <c r="F32" s="135">
        <v>20.6</v>
      </c>
      <c r="G32" s="133">
        <v>37</v>
      </c>
      <c r="H32" s="131" t="s">
        <v>14</v>
      </c>
      <c r="I32" s="133" t="s">
        <v>24</v>
      </c>
      <c r="J32" s="133">
        <v>24</v>
      </c>
      <c r="K32" s="131" t="s">
        <v>16</v>
      </c>
      <c r="L32" s="133">
        <v>6</v>
      </c>
      <c r="M32" s="253">
        <v>11</v>
      </c>
      <c r="N32" s="135">
        <v>7.0416666666666696</v>
      </c>
      <c r="O32" s="279">
        <v>23</v>
      </c>
      <c r="P32" s="348"/>
      <c r="Q32" s="13"/>
    </row>
    <row r="33" spans="1:17" ht="19.5" customHeight="1" thickBot="1" x14ac:dyDescent="0.35">
      <c r="A33" s="341"/>
      <c r="B33" s="130">
        <f t="shared" si="3"/>
        <v>2026</v>
      </c>
      <c r="C33" s="130">
        <f>C3</f>
        <v>5</v>
      </c>
      <c r="D33" s="131">
        <v>602</v>
      </c>
      <c r="E33" s="137">
        <v>46076</v>
      </c>
      <c r="F33" s="323">
        <v>24.8</v>
      </c>
      <c r="G33" s="138">
        <v>44</v>
      </c>
      <c r="H33" s="131" t="s">
        <v>14</v>
      </c>
      <c r="I33" s="133" t="s">
        <v>24</v>
      </c>
      <c r="J33" s="133">
        <v>13</v>
      </c>
      <c r="K33" s="131" t="s">
        <v>16</v>
      </c>
      <c r="L33" s="133">
        <v>6</v>
      </c>
      <c r="M33" s="253">
        <v>10</v>
      </c>
      <c r="N33" s="135">
        <v>6.7272727272727302</v>
      </c>
      <c r="O33" s="279">
        <v>10</v>
      </c>
      <c r="P33" s="348"/>
      <c r="Q33" s="13"/>
    </row>
    <row r="34" spans="1:17" ht="19.5" customHeight="1" thickBot="1" x14ac:dyDescent="0.35">
      <c r="A34" s="341"/>
      <c r="B34" s="130">
        <f t="shared" si="3"/>
        <v>2026</v>
      </c>
      <c r="C34" s="130">
        <f>C3</f>
        <v>5</v>
      </c>
      <c r="D34" s="131">
        <v>606</v>
      </c>
      <c r="E34" s="132">
        <v>46076</v>
      </c>
      <c r="F34" s="135">
        <v>36.4</v>
      </c>
      <c r="G34" s="133">
        <v>33</v>
      </c>
      <c r="H34" s="131" t="s">
        <v>14</v>
      </c>
      <c r="I34" s="133" t="s">
        <v>24</v>
      </c>
      <c r="J34" s="133">
        <v>2</v>
      </c>
      <c r="K34" s="131" t="s">
        <v>16</v>
      </c>
      <c r="L34" s="133">
        <v>8</v>
      </c>
      <c r="M34" s="253">
        <v>8</v>
      </c>
      <c r="N34" s="135">
        <v>8</v>
      </c>
      <c r="O34" s="279">
        <v>0</v>
      </c>
      <c r="P34" s="348"/>
      <c r="Q34" s="13"/>
    </row>
    <row r="35" spans="1:17" ht="19.5" customHeight="1" thickBot="1" x14ac:dyDescent="0.35">
      <c r="A35" s="341"/>
      <c r="B35" s="130">
        <f t="shared" si="3"/>
        <v>2026</v>
      </c>
      <c r="C35" s="130">
        <f>C3</f>
        <v>5</v>
      </c>
      <c r="D35" s="131">
        <v>609</v>
      </c>
      <c r="E35" s="132">
        <v>46076</v>
      </c>
      <c r="F35" s="135">
        <v>19.899999999999999</v>
      </c>
      <c r="G35" s="133">
        <v>43</v>
      </c>
      <c r="H35" s="131" t="s">
        <v>14</v>
      </c>
      <c r="I35" s="133" t="s">
        <v>15</v>
      </c>
      <c r="J35" s="133"/>
      <c r="K35" s="131" t="s">
        <v>16</v>
      </c>
      <c r="L35" s="133"/>
      <c r="M35" s="253"/>
      <c r="N35" s="135"/>
      <c r="O35" s="279"/>
      <c r="P35" s="348"/>
      <c r="Q35" s="13"/>
    </row>
    <row r="36" spans="1:17" ht="19.5" customHeight="1" thickBot="1" x14ac:dyDescent="0.35">
      <c r="A36" s="341"/>
      <c r="B36" s="139">
        <f t="shared" si="3"/>
        <v>2026</v>
      </c>
      <c r="C36" s="140">
        <f>C3</f>
        <v>5</v>
      </c>
      <c r="D36" s="141">
        <v>610</v>
      </c>
      <c r="E36" s="142">
        <v>46076</v>
      </c>
      <c r="F36" s="324">
        <v>21.5</v>
      </c>
      <c r="G36" s="143">
        <v>42</v>
      </c>
      <c r="H36" s="141" t="s">
        <v>14</v>
      </c>
      <c r="I36" s="144" t="s">
        <v>15</v>
      </c>
      <c r="J36" s="144"/>
      <c r="K36" s="141" t="s">
        <v>16</v>
      </c>
      <c r="L36" s="144"/>
      <c r="M36" s="254"/>
      <c r="N36" s="146"/>
      <c r="O36" s="280"/>
      <c r="P36" s="348"/>
      <c r="Q36" s="13"/>
    </row>
    <row r="37" spans="1:17" ht="19.5" customHeight="1" thickBot="1" x14ac:dyDescent="0.35">
      <c r="A37" s="341"/>
      <c r="B37" s="148">
        <f t="shared" si="3"/>
        <v>2026</v>
      </c>
      <c r="C37" s="149">
        <f>C3</f>
        <v>5</v>
      </c>
      <c r="D37" s="150">
        <v>508</v>
      </c>
      <c r="E37" s="151">
        <v>46078</v>
      </c>
      <c r="F37" s="325">
        <v>19.2</v>
      </c>
      <c r="G37" s="152">
        <v>42</v>
      </c>
      <c r="H37" s="153" t="s">
        <v>14</v>
      </c>
      <c r="I37" s="153" t="s">
        <v>24</v>
      </c>
      <c r="J37" s="153">
        <v>14</v>
      </c>
      <c r="K37" s="150" t="s">
        <v>16</v>
      </c>
      <c r="L37" s="153">
        <v>6</v>
      </c>
      <c r="M37" s="255">
        <v>7</v>
      </c>
      <c r="N37" s="155">
        <v>6.5454545454545503</v>
      </c>
      <c r="O37" s="281">
        <v>11</v>
      </c>
      <c r="P37" s="349" t="s">
        <v>13</v>
      </c>
      <c r="Q37" s="13"/>
    </row>
    <row r="38" spans="1:17" ht="19.5" customHeight="1" thickBot="1" x14ac:dyDescent="0.35">
      <c r="A38" s="341"/>
      <c r="B38" s="157">
        <f t="shared" si="3"/>
        <v>2026</v>
      </c>
      <c r="C38" s="149">
        <f>C3</f>
        <v>5</v>
      </c>
      <c r="D38" s="158">
        <v>513</v>
      </c>
      <c r="E38" s="159">
        <v>46076</v>
      </c>
      <c r="F38" s="326">
        <v>20.100000000000001</v>
      </c>
      <c r="G38" s="160">
        <v>53</v>
      </c>
      <c r="H38" s="161" t="s">
        <v>14</v>
      </c>
      <c r="I38" s="161" t="s">
        <v>24</v>
      </c>
      <c r="J38" s="161">
        <v>28</v>
      </c>
      <c r="K38" s="158" t="s">
        <v>16</v>
      </c>
      <c r="L38" s="161">
        <v>6</v>
      </c>
      <c r="M38" s="256">
        <v>7</v>
      </c>
      <c r="N38" s="163">
        <v>6.2105263157894699</v>
      </c>
      <c r="O38" s="282">
        <v>19</v>
      </c>
      <c r="P38" s="349"/>
      <c r="Q38" s="13"/>
    </row>
    <row r="39" spans="1:17" ht="19.5" customHeight="1" thickBot="1" x14ac:dyDescent="0.35">
      <c r="A39" s="341"/>
      <c r="B39" s="157">
        <f t="shared" si="3"/>
        <v>2026</v>
      </c>
      <c r="C39" s="149">
        <f>C3</f>
        <v>5</v>
      </c>
      <c r="D39" s="158">
        <v>520</v>
      </c>
      <c r="E39" s="159">
        <v>46078</v>
      </c>
      <c r="F39" s="326">
        <v>16.5</v>
      </c>
      <c r="G39" s="160">
        <v>52</v>
      </c>
      <c r="H39" s="161" t="s">
        <v>14</v>
      </c>
      <c r="I39" s="161" t="s">
        <v>24</v>
      </c>
      <c r="J39" s="161">
        <v>10</v>
      </c>
      <c r="K39" s="158" t="s">
        <v>16</v>
      </c>
      <c r="L39" s="161">
        <v>6</v>
      </c>
      <c r="M39" s="256">
        <v>7</v>
      </c>
      <c r="N39" s="163">
        <v>6.3</v>
      </c>
      <c r="O39" s="282">
        <v>10</v>
      </c>
      <c r="P39" s="349"/>
      <c r="Q39" s="13"/>
    </row>
    <row r="40" spans="1:17" ht="19.5" customHeight="1" thickBot="1" x14ac:dyDescent="0.35">
      <c r="A40" s="341"/>
      <c r="B40" s="157">
        <f t="shared" si="3"/>
        <v>2026</v>
      </c>
      <c r="C40" s="149">
        <f>C3</f>
        <v>5</v>
      </c>
      <c r="D40" s="158">
        <v>801</v>
      </c>
      <c r="E40" s="159">
        <v>46076</v>
      </c>
      <c r="F40" s="326">
        <v>20.6</v>
      </c>
      <c r="G40" s="160">
        <v>50</v>
      </c>
      <c r="H40" s="161" t="s">
        <v>14</v>
      </c>
      <c r="I40" s="161" t="s">
        <v>24</v>
      </c>
      <c r="J40" s="161">
        <v>3</v>
      </c>
      <c r="K40" s="158" t="s">
        <v>16</v>
      </c>
      <c r="L40" s="161">
        <v>7</v>
      </c>
      <c r="M40" s="256">
        <v>7</v>
      </c>
      <c r="N40" s="163">
        <v>7</v>
      </c>
      <c r="O40" s="282">
        <v>3</v>
      </c>
      <c r="P40" s="349"/>
      <c r="Q40" s="13"/>
    </row>
    <row r="41" spans="1:17" ht="19.5" customHeight="1" thickBot="1" x14ac:dyDescent="0.35">
      <c r="A41" s="341"/>
      <c r="B41" s="165">
        <f t="shared" si="3"/>
        <v>2026</v>
      </c>
      <c r="C41" s="166">
        <f>C3</f>
        <v>5</v>
      </c>
      <c r="D41" s="167">
        <v>804</v>
      </c>
      <c r="E41" s="168">
        <v>46077</v>
      </c>
      <c r="F41" s="327">
        <v>11.5</v>
      </c>
      <c r="G41" s="169">
        <v>68</v>
      </c>
      <c r="H41" s="170" t="s">
        <v>14</v>
      </c>
      <c r="I41" s="170" t="s">
        <v>15</v>
      </c>
      <c r="J41" s="170"/>
      <c r="K41" s="167" t="s">
        <v>16</v>
      </c>
      <c r="L41" s="170"/>
      <c r="M41" s="257"/>
      <c r="N41" s="172"/>
      <c r="O41" s="283"/>
      <c r="P41" s="349"/>
      <c r="Q41" s="13"/>
    </row>
    <row r="42" spans="1:17" ht="19.5" customHeight="1" x14ac:dyDescent="0.3">
      <c r="A42" s="341"/>
      <c r="B42" s="174">
        <f t="shared" si="3"/>
        <v>2026</v>
      </c>
      <c r="C42" s="175">
        <f>C3</f>
        <v>5</v>
      </c>
      <c r="D42" s="176">
        <v>703</v>
      </c>
      <c r="E42" s="177">
        <v>46077</v>
      </c>
      <c r="F42" s="328">
        <v>16.3</v>
      </c>
      <c r="G42" s="178">
        <v>42</v>
      </c>
      <c r="H42" s="179" t="s">
        <v>14</v>
      </c>
      <c r="I42" s="180" t="s">
        <v>24</v>
      </c>
      <c r="J42" s="180">
        <v>3</v>
      </c>
      <c r="K42" s="176" t="s">
        <v>16</v>
      </c>
      <c r="L42" s="180">
        <v>7</v>
      </c>
      <c r="M42" s="258">
        <v>7</v>
      </c>
      <c r="N42" s="182">
        <v>7</v>
      </c>
      <c r="O42" s="284">
        <v>3</v>
      </c>
      <c r="P42" s="350" t="s">
        <v>34</v>
      </c>
      <c r="Q42" s="13"/>
    </row>
    <row r="43" spans="1:17" ht="19.5" customHeight="1" x14ac:dyDescent="0.3">
      <c r="A43" s="341"/>
      <c r="B43" s="184">
        <f t="shared" si="3"/>
        <v>2026</v>
      </c>
      <c r="C43" s="185">
        <f>C3</f>
        <v>5</v>
      </c>
      <c r="D43" s="186">
        <v>704</v>
      </c>
      <c r="E43" s="187">
        <v>46077</v>
      </c>
      <c r="F43" s="329">
        <v>40.299999999999997</v>
      </c>
      <c r="G43" s="188">
        <v>27</v>
      </c>
      <c r="H43" s="179" t="s">
        <v>14</v>
      </c>
      <c r="I43" s="189" t="s">
        <v>24</v>
      </c>
      <c r="J43" s="189">
        <v>8</v>
      </c>
      <c r="K43" s="186" t="s">
        <v>16</v>
      </c>
      <c r="L43" s="189">
        <v>5</v>
      </c>
      <c r="M43" s="259">
        <v>7</v>
      </c>
      <c r="N43" s="191">
        <v>5.875</v>
      </c>
      <c r="O43" s="285">
        <v>8</v>
      </c>
      <c r="P43" s="351"/>
      <c r="Q43" s="13"/>
    </row>
    <row r="44" spans="1:17" ht="19.5" customHeight="1" x14ac:dyDescent="0.3">
      <c r="A44" s="341"/>
      <c r="B44" s="184">
        <f t="shared" si="3"/>
        <v>2026</v>
      </c>
      <c r="C44" s="185">
        <f>C3</f>
        <v>5</v>
      </c>
      <c r="D44" s="186">
        <v>705</v>
      </c>
      <c r="E44" s="187">
        <v>46077</v>
      </c>
      <c r="F44" s="329">
        <v>13.6</v>
      </c>
      <c r="G44" s="188">
        <v>68</v>
      </c>
      <c r="H44" s="179" t="s">
        <v>14</v>
      </c>
      <c r="I44" s="189" t="s">
        <v>24</v>
      </c>
      <c r="J44" s="189">
        <v>3</v>
      </c>
      <c r="K44" s="186" t="s">
        <v>16</v>
      </c>
      <c r="L44" s="189">
        <v>7</v>
      </c>
      <c r="M44" s="259">
        <v>7</v>
      </c>
      <c r="N44" s="191">
        <v>7</v>
      </c>
      <c r="O44" s="285">
        <v>3</v>
      </c>
      <c r="P44" s="351"/>
      <c r="Q44" s="13"/>
    </row>
    <row r="45" spans="1:17" ht="19.5" customHeight="1" x14ac:dyDescent="0.3">
      <c r="A45" s="341"/>
      <c r="B45" s="184">
        <f t="shared" si="3"/>
        <v>2026</v>
      </c>
      <c r="C45" s="185">
        <f>C3</f>
        <v>5</v>
      </c>
      <c r="D45" s="186">
        <v>706</v>
      </c>
      <c r="E45" s="187">
        <v>46077</v>
      </c>
      <c r="F45" s="329">
        <v>33.700000000000003</v>
      </c>
      <c r="G45" s="188">
        <v>32</v>
      </c>
      <c r="H45" s="179" t="s">
        <v>14</v>
      </c>
      <c r="I45" s="189" t="s">
        <v>24</v>
      </c>
      <c r="J45" s="189">
        <v>3</v>
      </c>
      <c r="K45" s="186" t="s">
        <v>16</v>
      </c>
      <c r="L45" s="189">
        <v>5</v>
      </c>
      <c r="M45" s="259">
        <v>6</v>
      </c>
      <c r="N45" s="191">
        <v>5.6666666666666696</v>
      </c>
      <c r="O45" s="285">
        <v>3</v>
      </c>
      <c r="P45" s="351"/>
      <c r="Q45" s="13"/>
    </row>
    <row r="46" spans="1:17" ht="19.5" customHeight="1" x14ac:dyDescent="0.3">
      <c r="A46" s="341"/>
      <c r="B46" s="184">
        <f t="shared" si="3"/>
        <v>2026</v>
      </c>
      <c r="C46" s="185">
        <f>C3</f>
        <v>5</v>
      </c>
      <c r="D46" s="186">
        <v>707</v>
      </c>
      <c r="E46" s="187">
        <v>46077</v>
      </c>
      <c r="F46" s="329">
        <v>28.4</v>
      </c>
      <c r="G46" s="188">
        <v>33</v>
      </c>
      <c r="H46" s="179" t="s">
        <v>14</v>
      </c>
      <c r="I46" s="189" t="s">
        <v>24</v>
      </c>
      <c r="J46" s="189">
        <v>5</v>
      </c>
      <c r="K46" s="186" t="s">
        <v>16</v>
      </c>
      <c r="L46" s="189">
        <v>6</v>
      </c>
      <c r="M46" s="259">
        <v>7</v>
      </c>
      <c r="N46" s="191">
        <v>6.2</v>
      </c>
      <c r="O46" s="285">
        <v>1</v>
      </c>
      <c r="P46" s="351"/>
      <c r="Q46" s="13"/>
    </row>
    <row r="47" spans="1:17" ht="19.5" customHeight="1" x14ac:dyDescent="0.3">
      <c r="A47" s="341"/>
      <c r="B47" s="184">
        <f t="shared" si="3"/>
        <v>2026</v>
      </c>
      <c r="C47" s="185">
        <f>C3</f>
        <v>5</v>
      </c>
      <c r="D47" s="186">
        <v>711</v>
      </c>
      <c r="E47" s="187">
        <v>46077</v>
      </c>
      <c r="F47" s="329">
        <v>29.9</v>
      </c>
      <c r="G47" s="188">
        <v>37</v>
      </c>
      <c r="H47" s="179" t="s">
        <v>14</v>
      </c>
      <c r="I47" s="189" t="s">
        <v>15</v>
      </c>
      <c r="J47" s="189"/>
      <c r="K47" s="186" t="s">
        <v>16</v>
      </c>
      <c r="L47" s="189"/>
      <c r="M47" s="259"/>
      <c r="N47" s="191"/>
      <c r="O47" s="285"/>
      <c r="P47" s="351"/>
      <c r="Q47" s="13"/>
    </row>
    <row r="48" spans="1:17" ht="19.5" customHeight="1" x14ac:dyDescent="0.3">
      <c r="A48" s="341"/>
      <c r="B48" s="193">
        <f t="shared" si="3"/>
        <v>2026</v>
      </c>
      <c r="C48" s="193">
        <f>C3</f>
        <v>5</v>
      </c>
      <c r="D48" s="194">
        <v>716</v>
      </c>
      <c r="E48" s="195">
        <v>46077</v>
      </c>
      <c r="F48" s="330">
        <v>23.1</v>
      </c>
      <c r="G48" s="196">
        <v>39</v>
      </c>
      <c r="H48" s="197" t="s">
        <v>14</v>
      </c>
      <c r="I48" s="196" t="s">
        <v>24</v>
      </c>
      <c r="J48" s="196">
        <v>3</v>
      </c>
      <c r="K48" s="194" t="s">
        <v>16</v>
      </c>
      <c r="L48" s="260">
        <v>6</v>
      </c>
      <c r="M48" s="261">
        <v>6</v>
      </c>
      <c r="N48" s="199">
        <v>6</v>
      </c>
      <c r="O48" s="286">
        <v>2</v>
      </c>
      <c r="P48" s="351"/>
      <c r="Q48" s="13"/>
    </row>
    <row r="49" spans="1:17" ht="19.5" customHeight="1" thickBot="1" x14ac:dyDescent="0.35">
      <c r="A49" s="341"/>
      <c r="B49" s="184">
        <f t="shared" si="3"/>
        <v>2026</v>
      </c>
      <c r="C49" s="185">
        <f>C3</f>
        <v>5</v>
      </c>
      <c r="D49" s="186">
        <v>723</v>
      </c>
      <c r="E49" s="187">
        <v>46077</v>
      </c>
      <c r="F49" s="329">
        <v>25.9</v>
      </c>
      <c r="G49" s="188">
        <v>40</v>
      </c>
      <c r="H49" s="179" t="s">
        <v>14</v>
      </c>
      <c r="I49" s="188" t="s">
        <v>15</v>
      </c>
      <c r="J49" s="189"/>
      <c r="K49" s="179" t="s">
        <v>16</v>
      </c>
      <c r="L49" s="188"/>
      <c r="M49" s="262"/>
      <c r="N49" s="202"/>
      <c r="O49" s="287"/>
      <c r="P49" s="352"/>
      <c r="Q49" s="13"/>
    </row>
    <row r="50" spans="1:17" ht="19.5" customHeight="1" thickBot="1" x14ac:dyDescent="0.35">
      <c r="A50" s="341"/>
      <c r="B50" s="204">
        <v>2026</v>
      </c>
      <c r="C50" s="205">
        <f>C3</f>
        <v>5</v>
      </c>
      <c r="D50" s="206">
        <v>809</v>
      </c>
      <c r="E50" s="207">
        <v>46076</v>
      </c>
      <c r="F50" s="331">
        <v>17.8</v>
      </c>
      <c r="G50" s="208">
        <v>50</v>
      </c>
      <c r="H50" s="206" t="s">
        <v>14</v>
      </c>
      <c r="I50" s="209" t="s">
        <v>24</v>
      </c>
      <c r="J50" s="209">
        <v>4</v>
      </c>
      <c r="K50" s="206" t="s">
        <v>16</v>
      </c>
      <c r="L50" s="209">
        <v>6</v>
      </c>
      <c r="M50" s="263">
        <v>10</v>
      </c>
      <c r="N50" s="211">
        <v>7.75</v>
      </c>
      <c r="O50" s="288">
        <v>2</v>
      </c>
      <c r="P50" s="342" t="s">
        <v>28</v>
      </c>
      <c r="Q50" s="13"/>
    </row>
    <row r="51" spans="1:17" ht="19.5" customHeight="1" thickBot="1" x14ac:dyDescent="0.35">
      <c r="A51" s="341"/>
      <c r="B51" s="213">
        <f t="shared" si="3"/>
        <v>2026</v>
      </c>
      <c r="C51" s="214">
        <f>C3</f>
        <v>5</v>
      </c>
      <c r="D51" s="215">
        <v>812</v>
      </c>
      <c r="E51" s="216">
        <v>46076</v>
      </c>
      <c r="F51" s="332">
        <v>19.3</v>
      </c>
      <c r="G51" s="217">
        <v>49</v>
      </c>
      <c r="H51" s="215" t="s">
        <v>14</v>
      </c>
      <c r="I51" s="218" t="s">
        <v>15</v>
      </c>
      <c r="J51" s="218"/>
      <c r="K51" s="215" t="s">
        <v>16</v>
      </c>
      <c r="L51" s="218"/>
      <c r="M51" s="264"/>
      <c r="N51" s="220"/>
      <c r="O51" s="289"/>
      <c r="P51" s="342"/>
      <c r="Q51" s="13"/>
    </row>
    <row r="52" spans="1:17" ht="19.5" customHeight="1" thickBot="1" x14ac:dyDescent="0.35">
      <c r="A52" s="341"/>
      <c r="B52" s="222">
        <f t="shared" si="3"/>
        <v>2026</v>
      </c>
      <c r="C52" s="223">
        <f>C3</f>
        <v>5</v>
      </c>
      <c r="D52" s="224">
        <v>815</v>
      </c>
      <c r="E52" s="232">
        <v>46076</v>
      </c>
      <c r="F52" s="333">
        <v>18.899999999999999</v>
      </c>
      <c r="G52" s="226">
        <v>53</v>
      </c>
      <c r="H52" s="227" t="s">
        <v>14</v>
      </c>
      <c r="I52" s="228" t="s">
        <v>15</v>
      </c>
      <c r="J52" s="228"/>
      <c r="K52" s="224" t="s">
        <v>16</v>
      </c>
      <c r="L52" s="228"/>
      <c r="M52" s="265"/>
      <c r="N52" s="230"/>
      <c r="O52" s="290"/>
      <c r="P52" s="342"/>
      <c r="Q52" s="13"/>
    </row>
    <row r="53" spans="1:17" ht="19.5" customHeight="1" thickBot="1" x14ac:dyDescent="0.35">
      <c r="A53" s="341"/>
      <c r="B53" s="222">
        <f t="shared" si="3"/>
        <v>2026</v>
      </c>
      <c r="C53" s="223">
        <f>C3</f>
        <v>5</v>
      </c>
      <c r="D53" s="224" t="s">
        <v>21</v>
      </c>
      <c r="E53" s="232">
        <v>46076</v>
      </c>
      <c r="F53" s="334">
        <v>12.7</v>
      </c>
      <c r="G53" s="226">
        <v>60</v>
      </c>
      <c r="H53" s="227" t="s">
        <v>14</v>
      </c>
      <c r="I53" s="228" t="s">
        <v>15</v>
      </c>
      <c r="J53" s="228"/>
      <c r="K53" s="224" t="s">
        <v>16</v>
      </c>
      <c r="L53" s="228"/>
      <c r="M53" s="265"/>
      <c r="N53" s="230"/>
      <c r="O53" s="290"/>
      <c r="P53" s="342"/>
      <c r="Q53" s="13"/>
    </row>
    <row r="54" spans="1:17" ht="19.5" customHeight="1" thickBot="1" x14ac:dyDescent="0.35">
      <c r="A54" s="341"/>
      <c r="B54" s="222">
        <f t="shared" si="3"/>
        <v>2026</v>
      </c>
      <c r="C54" s="223">
        <f>C3</f>
        <v>5</v>
      </c>
      <c r="D54" s="224">
        <v>902</v>
      </c>
      <c r="E54" s="232">
        <v>46076</v>
      </c>
      <c r="F54" s="334">
        <v>4.5</v>
      </c>
      <c r="G54" s="226">
        <v>170</v>
      </c>
      <c r="H54" s="227" t="s">
        <v>14</v>
      </c>
      <c r="I54" s="228" t="s">
        <v>15</v>
      </c>
      <c r="J54" s="228"/>
      <c r="K54" s="224" t="s">
        <v>16</v>
      </c>
      <c r="L54" s="228"/>
      <c r="M54" s="265"/>
      <c r="N54" s="230"/>
      <c r="O54" s="290"/>
      <c r="P54" s="342"/>
      <c r="Q54" s="13"/>
    </row>
    <row r="55" spans="1:17" ht="19.5" customHeight="1" thickBot="1" x14ac:dyDescent="0.35">
      <c r="A55" s="341"/>
      <c r="B55" s="222">
        <f t="shared" si="3"/>
        <v>2026</v>
      </c>
      <c r="C55" s="223">
        <f>C3</f>
        <v>5</v>
      </c>
      <c r="D55" s="224">
        <v>906</v>
      </c>
      <c r="E55" s="232">
        <v>46077</v>
      </c>
      <c r="F55" s="334">
        <v>14</v>
      </c>
      <c r="G55" s="226">
        <v>69</v>
      </c>
      <c r="H55" s="227" t="s">
        <v>14</v>
      </c>
      <c r="I55" s="228" t="s">
        <v>15</v>
      </c>
      <c r="J55" s="228"/>
      <c r="K55" s="224" t="s">
        <v>16</v>
      </c>
      <c r="L55" s="228"/>
      <c r="M55" s="265"/>
      <c r="N55" s="230"/>
      <c r="O55" s="290"/>
      <c r="P55" s="342"/>
      <c r="Q55" s="13"/>
    </row>
    <row r="56" spans="1:17" ht="19.5" customHeight="1" thickBot="1" x14ac:dyDescent="0.35">
      <c r="A56" s="341"/>
      <c r="B56" s="222">
        <f t="shared" si="3"/>
        <v>2026</v>
      </c>
      <c r="C56" s="223">
        <f>C3</f>
        <v>5</v>
      </c>
      <c r="D56" s="224">
        <v>910</v>
      </c>
      <c r="E56" s="232">
        <v>46077</v>
      </c>
      <c r="F56" s="334">
        <v>17.600000000000001</v>
      </c>
      <c r="G56" s="226">
        <v>48</v>
      </c>
      <c r="H56" s="227" t="s">
        <v>14</v>
      </c>
      <c r="I56" s="228" t="s">
        <v>15</v>
      </c>
      <c r="J56" s="228"/>
      <c r="K56" s="224" t="s">
        <v>16</v>
      </c>
      <c r="L56" s="228"/>
      <c r="M56" s="265"/>
      <c r="N56" s="230"/>
      <c r="O56" s="290"/>
      <c r="P56" s="342"/>
      <c r="Q56" s="13"/>
    </row>
    <row r="57" spans="1:17" ht="19.5" customHeight="1" thickBot="1" x14ac:dyDescent="0.35">
      <c r="A57" s="341"/>
      <c r="B57" s="222">
        <f t="shared" si="3"/>
        <v>2026</v>
      </c>
      <c r="C57" s="223">
        <f>C3</f>
        <v>5</v>
      </c>
      <c r="D57" s="224">
        <v>912</v>
      </c>
      <c r="E57" s="232">
        <v>46077</v>
      </c>
      <c r="F57" s="334">
        <v>10.9</v>
      </c>
      <c r="G57" s="226">
        <v>64</v>
      </c>
      <c r="H57" s="227" t="s">
        <v>14</v>
      </c>
      <c r="I57" s="228" t="s">
        <v>15</v>
      </c>
      <c r="J57" s="228"/>
      <c r="K57" s="224" t="s">
        <v>16</v>
      </c>
      <c r="L57" s="228"/>
      <c r="M57" s="265"/>
      <c r="N57" s="230"/>
      <c r="O57" s="290"/>
      <c r="P57" s="342"/>
      <c r="Q57" s="13"/>
    </row>
    <row r="58" spans="1:17" ht="19.5" customHeight="1" thickBot="1" x14ac:dyDescent="0.35">
      <c r="A58" s="341"/>
      <c r="B58" s="222">
        <f t="shared" si="3"/>
        <v>2026</v>
      </c>
      <c r="C58" s="223">
        <f>C3</f>
        <v>5</v>
      </c>
      <c r="D58" s="224">
        <v>914</v>
      </c>
      <c r="E58" s="232">
        <v>46076</v>
      </c>
      <c r="F58" s="334">
        <v>8.1</v>
      </c>
      <c r="G58" s="226">
        <v>100</v>
      </c>
      <c r="H58" s="227" t="s">
        <v>14</v>
      </c>
      <c r="I58" s="228" t="s">
        <v>15</v>
      </c>
      <c r="J58" s="228"/>
      <c r="K58" s="224" t="s">
        <v>16</v>
      </c>
      <c r="L58" s="228"/>
      <c r="M58" s="265"/>
      <c r="N58" s="230"/>
      <c r="O58" s="290"/>
      <c r="P58" s="342"/>
      <c r="Q58" s="13"/>
    </row>
    <row r="59" spans="1:17" ht="19.5" customHeight="1" thickBot="1" x14ac:dyDescent="0.35">
      <c r="A59" s="341"/>
      <c r="B59" s="222">
        <f t="shared" si="3"/>
        <v>2026</v>
      </c>
      <c r="C59" s="223">
        <f>C3</f>
        <v>5</v>
      </c>
      <c r="D59" s="224">
        <v>915</v>
      </c>
      <c r="E59" s="232">
        <v>46076</v>
      </c>
      <c r="F59" s="334">
        <v>3.7</v>
      </c>
      <c r="G59" s="226">
        <v>150</v>
      </c>
      <c r="H59" s="227" t="s">
        <v>14</v>
      </c>
      <c r="I59" s="228" t="s">
        <v>15</v>
      </c>
      <c r="J59" s="228"/>
      <c r="K59" s="224" t="s">
        <v>16</v>
      </c>
      <c r="L59" s="228"/>
      <c r="M59" s="265"/>
      <c r="N59" s="230"/>
      <c r="O59" s="290"/>
      <c r="P59" s="342"/>
      <c r="Q59" s="13"/>
    </row>
    <row r="60" spans="1:17" ht="19.5" customHeight="1" thickBot="1" x14ac:dyDescent="0.35">
      <c r="A60" s="341"/>
      <c r="B60" s="222">
        <f t="shared" si="3"/>
        <v>2026</v>
      </c>
      <c r="C60" s="223">
        <f>C3</f>
        <v>5</v>
      </c>
      <c r="D60" s="224">
        <v>918</v>
      </c>
      <c r="E60" s="232">
        <v>46076</v>
      </c>
      <c r="F60" s="334">
        <v>3.4</v>
      </c>
      <c r="G60" s="226">
        <v>138</v>
      </c>
      <c r="H60" s="227" t="s">
        <v>14</v>
      </c>
      <c r="I60" s="228" t="s">
        <v>15</v>
      </c>
      <c r="J60" s="228"/>
      <c r="K60" s="224" t="s">
        <v>16</v>
      </c>
      <c r="L60" s="228"/>
      <c r="M60" s="265"/>
      <c r="N60" s="230"/>
      <c r="O60" s="290"/>
      <c r="P60" s="342"/>
      <c r="Q60" s="13"/>
    </row>
    <row r="61" spans="1:17" ht="19.5" customHeight="1" thickBot="1" x14ac:dyDescent="0.35">
      <c r="A61" s="341"/>
      <c r="B61" s="233">
        <f t="shared" si="3"/>
        <v>2026</v>
      </c>
      <c r="C61" s="234">
        <f>C3</f>
        <v>5</v>
      </c>
      <c r="D61" s="235">
        <v>919</v>
      </c>
      <c r="E61" s="236">
        <v>46076</v>
      </c>
      <c r="F61" s="335">
        <v>19.399999999999999</v>
      </c>
      <c r="G61" s="237">
        <v>67</v>
      </c>
      <c r="H61" s="227" t="s">
        <v>14</v>
      </c>
      <c r="I61" s="238" t="s">
        <v>15</v>
      </c>
      <c r="J61" s="238"/>
      <c r="K61" s="235" t="s">
        <v>16</v>
      </c>
      <c r="L61" s="238"/>
      <c r="M61" s="266"/>
      <c r="N61" s="240"/>
      <c r="O61" s="291"/>
      <c r="P61" s="342"/>
      <c r="Q61" s="13"/>
    </row>
    <row r="62" spans="1:17" ht="19.5" customHeight="1" x14ac:dyDescent="0.3">
      <c r="A62" s="341"/>
      <c r="B62" s="4" t="s">
        <v>18</v>
      </c>
      <c r="C62" s="5"/>
      <c r="D62" s="5"/>
      <c r="E62" s="5"/>
      <c r="F62" s="1"/>
      <c r="G62"/>
      <c r="H62"/>
      <c r="I62"/>
      <c r="J62"/>
      <c r="K62"/>
      <c r="L62"/>
      <c r="M62"/>
      <c r="N62"/>
      <c r="O62"/>
      <c r="P62"/>
      <c r="Q62" s="13"/>
    </row>
    <row r="63" spans="1:17" ht="19.5" customHeight="1" x14ac:dyDescent="0.3">
      <c r="A63" s="341"/>
      <c r="B63" s="4" t="s">
        <v>19</v>
      </c>
      <c r="C63" s="6"/>
      <c r="D63" s="6"/>
      <c r="E63" s="6"/>
      <c r="F63" s="2"/>
      <c r="G63"/>
      <c r="H63"/>
      <c r="I63"/>
      <c r="J63"/>
      <c r="K63"/>
      <c r="L63"/>
      <c r="M63"/>
      <c r="N63"/>
      <c r="O63"/>
      <c r="P63"/>
      <c r="Q63" s="13"/>
    </row>
    <row r="64" spans="1:17" ht="19.5" customHeight="1" x14ac:dyDescent="0.3">
      <c r="A64" s="341"/>
      <c r="B64" s="4" t="s">
        <v>20</v>
      </c>
      <c r="C64" s="6"/>
      <c r="D64" s="6"/>
      <c r="E64" s="6"/>
      <c r="F64" s="3"/>
      <c r="G64"/>
      <c r="H64"/>
      <c r="I64"/>
      <c r="J64"/>
      <c r="K64"/>
      <c r="L64"/>
      <c r="M64"/>
      <c r="N64"/>
      <c r="O64"/>
      <c r="P64"/>
      <c r="Q64" s="13"/>
    </row>
    <row r="65" spans="1:30" ht="19.5" customHeight="1" x14ac:dyDescent="0.3">
      <c r="A65" s="341"/>
      <c r="B65" s="7" t="s">
        <v>43</v>
      </c>
      <c r="C65" s="8"/>
      <c r="D65" s="8"/>
      <c r="E65" s="6"/>
      <c r="F65" s="3"/>
      <c r="G65"/>
      <c r="H65"/>
      <c r="I65"/>
      <c r="J65"/>
      <c r="K65"/>
      <c r="L65"/>
      <c r="M65"/>
      <c r="N65"/>
      <c r="O65"/>
      <c r="P65"/>
      <c r="Q65" s="18"/>
    </row>
    <row r="66" spans="1:30" ht="19.5" customHeight="1" x14ac:dyDescent="0.3">
      <c r="A66" s="341"/>
      <c r="B66" s="19"/>
      <c r="C66" s="19"/>
      <c r="D66" s="19"/>
      <c r="E66" s="19"/>
      <c r="F66" s="19"/>
      <c r="G66"/>
      <c r="H66"/>
      <c r="I66"/>
      <c r="J66"/>
      <c r="K66"/>
      <c r="L66"/>
      <c r="M66"/>
      <c r="N66"/>
      <c r="O66"/>
      <c r="P66"/>
      <c r="Q66" s="21"/>
      <c r="S66" s="24"/>
      <c r="T66" s="24"/>
      <c r="U66" s="25"/>
      <c r="V66" s="24"/>
      <c r="W66" s="24"/>
      <c r="X66" s="23"/>
      <c r="Y66" s="26"/>
      <c r="Z66" s="23"/>
      <c r="AA66" s="26"/>
      <c r="AB66" s="26"/>
      <c r="AC66" s="26"/>
      <c r="AD66" s="24"/>
    </row>
    <row r="67" spans="1:30" ht="19.5" customHeight="1" x14ac:dyDescent="0.3">
      <c r="G67"/>
      <c r="H67"/>
      <c r="I67"/>
      <c r="J67"/>
      <c r="K67"/>
      <c r="L67"/>
      <c r="M67"/>
      <c r="N67"/>
      <c r="O67"/>
      <c r="P67"/>
      <c r="Q67" s="28"/>
    </row>
    <row r="68" spans="1:30" ht="19.5" customHeight="1" x14ac:dyDescent="0.3">
      <c r="G68"/>
      <c r="H68"/>
      <c r="I68"/>
      <c r="J68"/>
      <c r="K68"/>
      <c r="L68"/>
      <c r="M68"/>
      <c r="N68"/>
      <c r="O68"/>
      <c r="P68"/>
      <c r="Q68" s="29"/>
    </row>
    <row r="69" spans="1:30" ht="19.5" customHeight="1" x14ac:dyDescent="0.3">
      <c r="G69"/>
      <c r="H69"/>
      <c r="I69"/>
      <c r="J69"/>
      <c r="K69"/>
      <c r="L69"/>
      <c r="M69"/>
      <c r="N69"/>
      <c r="O69"/>
      <c r="P69"/>
      <c r="Q69" s="30"/>
    </row>
    <row r="70" spans="1:30" ht="15" customHeight="1" x14ac:dyDescent="0.3">
      <c r="G70"/>
      <c r="H70"/>
      <c r="I70"/>
      <c r="J70"/>
      <c r="K70"/>
      <c r="L70"/>
      <c r="M70"/>
      <c r="N70"/>
      <c r="O70"/>
      <c r="P70"/>
    </row>
    <row r="71" spans="1:30" ht="15" customHeight="1" x14ac:dyDescent="0.3">
      <c r="G71"/>
      <c r="H71"/>
      <c r="I71"/>
      <c r="J71"/>
      <c r="K71"/>
      <c r="L71"/>
      <c r="M71"/>
      <c r="N71"/>
      <c r="O71"/>
      <c r="P71"/>
      <c r="Q71" s="19"/>
    </row>
    <row r="72" spans="1:30" ht="15" customHeight="1" x14ac:dyDescent="0.3">
      <c r="G72"/>
      <c r="H72"/>
      <c r="I72"/>
      <c r="J72"/>
      <c r="K72"/>
      <c r="L72"/>
      <c r="M72"/>
      <c r="N72"/>
      <c r="O72"/>
      <c r="P72"/>
      <c r="Q72" s="19"/>
    </row>
    <row r="73" spans="1:30" ht="15" customHeight="1" x14ac:dyDescent="0.3">
      <c r="G73"/>
      <c r="H73"/>
      <c r="I73"/>
      <c r="J73"/>
      <c r="K73"/>
      <c r="L73"/>
      <c r="M73"/>
      <c r="N73"/>
      <c r="O73"/>
      <c r="P73"/>
      <c r="Q73" s="19"/>
    </row>
    <row r="74" spans="1:30" ht="15" customHeight="1" x14ac:dyDescent="0.3">
      <c r="G74"/>
      <c r="H74"/>
      <c r="I74"/>
      <c r="J74"/>
      <c r="K74"/>
      <c r="L74"/>
      <c r="M74"/>
      <c r="N74"/>
      <c r="O74"/>
      <c r="P74"/>
      <c r="Q74" s="19"/>
    </row>
    <row r="75" spans="1:30" ht="15" customHeight="1" x14ac:dyDescent="0.3">
      <c r="G75"/>
      <c r="H75"/>
      <c r="I75"/>
      <c r="J75"/>
      <c r="K75"/>
      <c r="L75"/>
      <c r="M75"/>
      <c r="N75"/>
      <c r="O75"/>
      <c r="P75"/>
    </row>
    <row r="76" spans="1:30" ht="15" customHeight="1" x14ac:dyDescent="0.3">
      <c r="G76"/>
      <c r="H76"/>
      <c r="I76"/>
      <c r="J76"/>
      <c r="K76"/>
      <c r="L76"/>
      <c r="M76"/>
      <c r="N76"/>
      <c r="O76"/>
      <c r="P76"/>
    </row>
    <row r="77" spans="1:30" ht="15" customHeight="1" x14ac:dyDescent="0.3">
      <c r="G77"/>
      <c r="H77"/>
      <c r="I77"/>
      <c r="J77"/>
      <c r="K77"/>
      <c r="L77"/>
      <c r="M77"/>
      <c r="N77"/>
      <c r="O77"/>
      <c r="P77"/>
    </row>
    <row r="78" spans="1:30" ht="14.4" x14ac:dyDescent="0.3">
      <c r="G78"/>
      <c r="H78"/>
      <c r="I78"/>
      <c r="J78"/>
      <c r="K78"/>
      <c r="L78"/>
      <c r="M78"/>
      <c r="N78"/>
      <c r="O78"/>
      <c r="P78"/>
    </row>
    <row r="79" spans="1:30" ht="14.4" x14ac:dyDescent="0.3">
      <c r="G79"/>
      <c r="H79"/>
      <c r="I79"/>
      <c r="J79"/>
      <c r="K79"/>
      <c r="L79"/>
      <c r="M79"/>
      <c r="N79"/>
      <c r="O79"/>
      <c r="P79"/>
    </row>
    <row r="80" spans="1:30" ht="14.4" x14ac:dyDescent="0.3">
      <c r="G80"/>
      <c r="H80"/>
      <c r="I80"/>
      <c r="J80"/>
      <c r="K80"/>
      <c r="L80"/>
      <c r="M80"/>
      <c r="N80"/>
      <c r="O80"/>
      <c r="P80"/>
    </row>
    <row r="81" spans="7:16" ht="14.4" x14ac:dyDescent="0.3">
      <c r="G81"/>
      <c r="H81"/>
      <c r="I81"/>
      <c r="J81"/>
      <c r="K81"/>
      <c r="L81"/>
      <c r="M81"/>
      <c r="N81"/>
      <c r="O81"/>
      <c r="P81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846ADD10-B188-433C-9532-D8B5D63CC95D}">
      <formula1>"No Smelt Catch, Longfin Smelt, Delta Smelt"</formula1>
    </dataValidation>
    <dataValidation type="list" allowBlank="1" showInputMessage="1" showErrorMessage="1" sqref="K3:K61" xr:uid="{8416E319-A2CA-404F-A716-1D85CFDAB391}">
      <formula1>"Completed, Preliminary "</formula1>
    </dataValidation>
    <dataValidation type="list" allowBlank="1" showInputMessage="1" showErrorMessage="1" sqref="H3:H61" xr:uid="{E902EA0C-3832-4873-88E1-CEB5DAE3F5F6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4.4" x14ac:dyDescent="0.3"/>
  <sheetData>
    <row r="1" spans="1:14" ht="24.6" x14ac:dyDescent="0.4">
      <c r="A1" s="353" t="s">
        <v>35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</row>
    <row r="2" spans="1:14" x14ac:dyDescent="0.3">
      <c r="N2" s="339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2026-03-10T17:58:13Z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