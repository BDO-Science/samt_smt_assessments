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/data_raw/smelt/"/>
    </mc:Choice>
  </mc:AlternateContent>
  <xr:revisionPtr revIDLastSave="0" documentId="8_{156A168C-D225-4432-8F10-E51BF3FF7A0C}" xr6:coauthVersionLast="47" xr6:coauthVersionMax="47" xr10:uidLastSave="{00000000-0000-0000-0000-000000000000}"/>
  <bookViews>
    <workbookView xWindow="-120" yWindow="-120" windowWidth="25440" windowHeight="15270" firstSheet="2" activeTab="7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35" l="1"/>
  <c r="I79" i="35"/>
  <c r="I78" i="35"/>
  <c r="I77" i="35"/>
  <c r="I76" i="35"/>
  <c r="I75" i="35"/>
  <c r="I74" i="35"/>
  <c r="I81" i="35" s="1"/>
  <c r="I73" i="35"/>
  <c r="I71" i="35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I71" i="29"/>
  <c r="I73" i="29"/>
  <c r="I74" i="29"/>
  <c r="I75" i="29"/>
  <c r="I76" i="29"/>
  <c r="I77" i="29"/>
  <c r="I78" i="29"/>
  <c r="I79" i="29"/>
  <c r="I80" i="29"/>
  <c r="I80" i="34"/>
  <c r="I79" i="34"/>
  <c r="I78" i="34"/>
  <c r="I77" i="34"/>
  <c r="I76" i="34"/>
  <c r="I75" i="34"/>
  <c r="I74" i="34"/>
  <c r="I73" i="34"/>
  <c r="I71" i="34"/>
  <c r="I73" i="26"/>
  <c r="C23" i="29" l="1"/>
  <c r="C20" i="29"/>
  <c r="C6" i="29"/>
  <c r="I81" i="29"/>
  <c r="I81" i="34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1" i="29" l="1"/>
  <c r="C7" i="29"/>
  <c r="C24" i="29"/>
  <c r="I81" i="25"/>
  <c r="I81" i="26"/>
  <c r="C23" i="27"/>
  <c r="C19" i="27"/>
  <c r="I81" i="28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22" i="29" l="1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<sst xmlns="http://schemas.openxmlformats.org/spreadsheetml/2006/main" count="1505" uniqueCount="54">
  <si>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</si>
  <si>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</si>
  <si>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</si>
  <si>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</si>
  <si>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</si>
  <si>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</si>
  <si>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</si>
  <si>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</si>
  <si>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</si>
  <si>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</si>
  <si>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</si>
  <si>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</si>
  <si>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</si>
  <si>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</si>
  <si>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</si>
  <si>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</si>
  <si>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</si>
  <si>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</si>
  <si>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</si>
  <si>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</si>
  <si>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</si>
  <si>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</si>
  <si>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</si>
  <si>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</si>
  <si>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</si>
  <si>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</si>
  <si>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</si>
  <si>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</si>
  <si>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</si>
  <si>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</si>
  <si>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</si>
  <si>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</si>
  <si>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</si>
  <si>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</si>
  <si>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</si>
  <si>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</si>
  <si>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</si>
  <si>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</si>
  <si>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</si>
  <si>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</si>
  <si>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</si>
  <si>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</si>
  <si>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</si>
  <si>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</si>
  <si>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</si>
  <si>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</si>
  <si>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</si>
  <si>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</si>
  <si>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</si>
  <si>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</si>
  <si>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</si>
  <si>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t>405*</t>
  </si>
  <si>
    <t>901*</t>
  </si>
  <si>
    <t>Processing is complete through 3/16/26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</si>
</sst>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73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  <xf numFmtId="1" fontId="6" fillId="5" borderId="0" xfId="2" applyNumberFormat="1" applyFont="1" applyFill="1" applyAlignment="1">
      <alignment horizontal="center"/>
    </xf>
    <xf numFmtId="164" fontId="1" fillId="5" borderId="0" xfId="1" applyNumberFormat="1" applyFill="1" applyAlignment="1">
      <alignment horizontal="center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58</v>
      </c>
      <c r="Q69" s="45"/>
    </row>
    <row r="70" spans="1:30" ht="15" customHeight="1" x14ac:dyDescent="0.2">
      <c r="H70" s="41" t="s">
        <v>40</v>
      </c>
      <c r="I70" s="14">
        <v>58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51</v>
      </c>
      <c r="Q69" s="45"/>
    </row>
    <row r="70" spans="1:30" ht="15" customHeight="1" x14ac:dyDescent="0.2">
      <c r="H70" s="41" t="s">
        <v>40</v>
      </c>
      <c r="I70" s="14">
        <v>51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workbookViewId="0">
      <selection activeCell="B10" sqref="B10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25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25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25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25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25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25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25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25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25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25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25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25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25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45</v>
      </c>
    </row>
    <row r="71" spans="1:30" ht="15" customHeight="1" x14ac:dyDescent="0.2">
      <c r="H71" s="41" t="s">
        <v>41</v>
      </c>
      <c r="I71" s="46">
        <f>I70/I69</f>
        <v>0.76271186440677963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84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946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1651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50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39</v>
      </c>
      <c r="I69" s="14">
        <v>59</v>
      </c>
      <c r="Q69" s="45"/>
    </row>
    <row r="70" spans="1:29" ht="15" customHeight="1" x14ac:dyDescent="0.2">
      <c r="H70" s="41" t="s">
        <v>40</v>
      </c>
      <c r="I70" s="14">
        <v>59</v>
      </c>
    </row>
    <row r="71" spans="1:29" ht="15" customHeight="1" x14ac:dyDescent="0.2">
      <c r="H71" s="41" t="s">
        <v>41</v>
      </c>
      <c r="I71" s="46">
        <f>I70/I69</f>
        <v>1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28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552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2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1818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410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42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2941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opLeftCell="A62" workbookViewId="0">
      <selection activeCell="J77" sqref="J77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5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5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v>2026</v>
      </c>
      <c r="C5" s="63">
        <v>5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0"/>
      <c r="Q5" s="13"/>
    </row>
    <row r="6" spans="1:17" ht="19.5" customHeight="1" thickBot="1" x14ac:dyDescent="0.3">
      <c r="A6" s="358"/>
      <c r="B6" s="62">
        <v>2026</v>
      </c>
      <c r="C6" s="63"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0"/>
      <c r="Q6" s="13"/>
    </row>
    <row r="7" spans="1:17" ht="19.5" customHeight="1" thickBot="1" x14ac:dyDescent="0.3">
      <c r="A7" s="358"/>
      <c r="B7" s="62">
        <v>2026</v>
      </c>
      <c r="C7" s="63">
        <v>5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v>2026</v>
      </c>
      <c r="C8" s="63">
        <v>5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v>2026</v>
      </c>
      <c r="C9" s="63"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0"/>
      <c r="Q9" s="13"/>
    </row>
    <row r="10" spans="1:17" ht="19.5" customHeight="1" thickBot="1" x14ac:dyDescent="0.3">
      <c r="A10" s="358"/>
      <c r="B10" s="62">
        <v>2026</v>
      </c>
      <c r="C10" s="63">
        <v>5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v>2026</v>
      </c>
      <c r="C11" s="63">
        <v>5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v>2026</v>
      </c>
      <c r="C12" s="63"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v>2026</v>
      </c>
      <c r="C13" s="63">
        <v>5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v>2026</v>
      </c>
      <c r="C14" s="63">
        <v>5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v>2026</v>
      </c>
      <c r="C15" s="63">
        <v>5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v>2026</v>
      </c>
      <c r="C16" s="87"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43</v>
      </c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5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5</v>
      </c>
      <c r="D18" s="95">
        <v>343</v>
      </c>
      <c r="E18" s="96">
        <v>46078</v>
      </c>
      <c r="F18" s="336">
        <v>15.6</v>
      </c>
      <c r="G18" s="97">
        <v>37</v>
      </c>
      <c r="H18" s="95" t="s">
        <v>18</v>
      </c>
      <c r="I18" s="98" t="s">
        <v>28</v>
      </c>
      <c r="J18" s="98">
        <v>141</v>
      </c>
      <c r="K18" s="95" t="s">
        <v>20</v>
      </c>
      <c r="L18" s="98">
        <v>6</v>
      </c>
      <c r="M18" s="264">
        <v>10</v>
      </c>
      <c r="N18" s="100">
        <v>7.7</v>
      </c>
      <c r="O18" s="289">
        <v>47</v>
      </c>
      <c r="P18" s="362"/>
      <c r="Q18" s="13"/>
    </row>
    <row r="19" spans="1:17" ht="19.5" customHeight="1" x14ac:dyDescent="0.25">
      <c r="A19" s="358"/>
      <c r="B19" s="94">
        <v>2026</v>
      </c>
      <c r="C19" s="94"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2"/>
      <c r="Q19" s="13"/>
    </row>
    <row r="20" spans="1:17" ht="19.5" customHeight="1" x14ac:dyDescent="0.25">
      <c r="A20" s="358"/>
      <c r="B20" s="94">
        <v>2026</v>
      </c>
      <c r="C20" s="94"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2"/>
      <c r="Q20" s="13"/>
    </row>
    <row r="21" spans="1:17" ht="19.5" customHeight="1" x14ac:dyDescent="0.25">
      <c r="A21" s="358"/>
      <c r="B21" s="102">
        <v>2026</v>
      </c>
      <c r="C21" s="102">
        <v>5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5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2"/>
      <c r="Q23" s="13"/>
    </row>
    <row r="24" spans="1:17" ht="19.5" customHeight="1" thickBot="1" x14ac:dyDescent="0.3">
      <c r="A24" s="358"/>
      <c r="B24" s="110">
        <v>2026</v>
      </c>
      <c r="C24" s="102"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v>2026</v>
      </c>
      <c r="C25" s="119"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4"/>
      <c r="Q26" s="13"/>
    </row>
    <row r="27" spans="1:17" ht="19.5" customHeight="1" thickBot="1" x14ac:dyDescent="0.3">
      <c r="A27" s="358"/>
      <c r="B27" s="133">
        <v>2026</v>
      </c>
      <c r="C27" s="133"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4"/>
      <c r="Q27" s="13"/>
    </row>
    <row r="28" spans="1:17" ht="19.5" customHeight="1" thickBot="1" x14ac:dyDescent="0.3">
      <c r="A28" s="358"/>
      <c r="B28" s="140">
        <v>2026</v>
      </c>
      <c r="C28" s="140">
        <v>5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">
      <c r="A30" s="358"/>
      <c r="B30" s="147">
        <v>2026</v>
      </c>
      <c r="C30" s="147"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">
      <c r="A31" s="358"/>
      <c r="B31" s="147">
        <v>2026</v>
      </c>
      <c r="C31" s="147"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5"/>
      <c r="Q31" s="13"/>
    </row>
    <row r="32" spans="1:17" ht="19.5" customHeight="1" thickBot="1" x14ac:dyDescent="0.3">
      <c r="A32" s="358"/>
      <c r="B32" s="147">
        <v>2026</v>
      </c>
      <c r="C32" s="147"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">
      <c r="A33" s="358"/>
      <c r="B33" s="147">
        <v>2026</v>
      </c>
      <c r="C33" s="147"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5"/>
      <c r="Q33" s="13"/>
    </row>
    <row r="34" spans="1:17" ht="19.5" customHeight="1" thickBot="1" x14ac:dyDescent="0.3">
      <c r="A34" s="358"/>
      <c r="B34" s="147">
        <v>2026</v>
      </c>
      <c r="C34" s="147"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">
      <c r="A35" s="358"/>
      <c r="B35" s="147">
        <v>2026</v>
      </c>
      <c r="C35" s="147"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v>2026</v>
      </c>
      <c r="C36" s="157"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v>2026</v>
      </c>
      <c r="C37" s="166"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">
      <c r="A39" s="358"/>
      <c r="B39" s="174">
        <v>2026</v>
      </c>
      <c r="C39" s="166"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">
      <c r="A40" s="358"/>
      <c r="B40" s="174">
        <v>2026</v>
      </c>
      <c r="C40" s="166"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v>2026</v>
      </c>
      <c r="C41" s="183"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v>2026</v>
      </c>
      <c r="C42" s="192"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68"/>
      <c r="Q43" s="13"/>
    </row>
    <row r="44" spans="1:17" ht="19.5" customHeight="1" x14ac:dyDescent="0.25">
      <c r="A44" s="358"/>
      <c r="B44" s="201">
        <v>2026</v>
      </c>
      <c r="C44" s="202"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25">
      <c r="A45" s="358"/>
      <c r="B45" s="201">
        <v>2026</v>
      </c>
      <c r="C45" s="202"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68"/>
      <c r="Q45" s="13"/>
    </row>
    <row r="46" spans="1:17" ht="19.5" customHeight="1" x14ac:dyDescent="0.25">
      <c r="A46" s="358"/>
      <c r="B46" s="201">
        <v>2026</v>
      </c>
      <c r="C46" s="202"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68"/>
      <c r="Q46" s="13"/>
    </row>
    <row r="47" spans="1:17" ht="19.5" customHeight="1" x14ac:dyDescent="0.25">
      <c r="A47" s="358"/>
      <c r="B47" s="201">
        <v>2026</v>
      </c>
      <c r="C47" s="202"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358"/>
      <c r="B52" s="239">
        <v>2026</v>
      </c>
      <c r="C52" s="240"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358"/>
      <c r="B53" s="239">
        <v>2026</v>
      </c>
      <c r="C53" s="240">
        <v>5</v>
      </c>
      <c r="D53" s="241" t="s">
        <v>52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v>2026</v>
      </c>
      <c r="C54" s="240"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v>2026</v>
      </c>
      <c r="C55" s="240"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v>2026</v>
      </c>
      <c r="C56" s="240"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v>2026</v>
      </c>
      <c r="C57" s="240"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v>2026</v>
      </c>
      <c r="C58" s="240"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v>2026</v>
      </c>
      <c r="C59" s="240"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v>2026</v>
      </c>
      <c r="C60" s="240"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v>2026</v>
      </c>
      <c r="C61" s="251"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43</v>
      </c>
    </row>
    <row r="71" spans="1:30" ht="15" customHeight="1" x14ac:dyDescent="0.2">
      <c r="H71" s="41" t="s">
        <v>41</v>
      </c>
      <c r="I71" s="46">
        <f>I70/I69</f>
        <v>0.72881355932203384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107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484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118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311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55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25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4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K80" s="43"/>
      <c r="M80" s="43"/>
      <c r="N80" s="43"/>
      <c r="O80" s="43"/>
    </row>
    <row r="81" spans="9:15" x14ac:dyDescent="0.2">
      <c r="I81" s="43">
        <f>SUM(I73:I80)</f>
        <v>1104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846ADD10-B188-433C-9532-D8B5D63CC95D}">
      <formula1>"No Smelt Catch, Longfin Smelt, Delta Smelt"</formula1>
    </dataValidation>
    <dataValidation type="list" allowBlank="1" showInputMessage="1" showErrorMessage="1" sqref="K3:K61" xr:uid="{8416E319-A2CA-404F-A716-1D85CFDAB391}">
      <formula1>"Completed, Preliminary "</formula1>
    </dataValidation>
    <dataValidation type="list" allowBlank="1" showInputMessage="1" showErrorMessage="1" sqref="H3:H61" xr:uid="{E902EA0C-3832-4873-88E1-CEB5DAE3F5F6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tabSelected="1" topLeftCell="A36" workbookViewId="0">
      <selection activeCell="G63" sqref="F63:G6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6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v>2026</v>
      </c>
      <c r="C4" s="63">
        <v>6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v>2026</v>
      </c>
      <c r="C5" s="63">
        <v>6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0"/>
      <c r="Q5" s="13"/>
    </row>
    <row r="6" spans="1:17" ht="19.5" customHeight="1" thickBot="1" x14ac:dyDescent="0.3">
      <c r="A6" s="358"/>
      <c r="B6" s="62">
        <v>2026</v>
      </c>
      <c r="C6" s="63">
        <v>6</v>
      </c>
      <c r="D6" s="62">
        <v>315</v>
      </c>
      <c r="E6" s="72"/>
      <c r="F6" s="77"/>
      <c r="G6" s="73"/>
      <c r="H6" s="74"/>
      <c r="I6" s="75"/>
      <c r="J6" s="73"/>
      <c r="K6" s="62"/>
      <c r="L6" s="73"/>
      <c r="M6" s="261"/>
      <c r="N6" s="77"/>
      <c r="O6" s="286"/>
      <c r="P6" s="360"/>
      <c r="Q6" s="13"/>
    </row>
    <row r="7" spans="1:17" ht="19.5" customHeight="1" thickBot="1" x14ac:dyDescent="0.3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v>2026</v>
      </c>
      <c r="C8" s="63">
        <v>6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v>2026</v>
      </c>
      <c r="C9" s="63">
        <v>6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60"/>
      <c r="Q9" s="13"/>
    </row>
    <row r="10" spans="1:17" ht="19.5" customHeight="1" thickBot="1" x14ac:dyDescent="0.3">
      <c r="A10" s="358"/>
      <c r="B10" s="62">
        <v>2026</v>
      </c>
      <c r="C10" s="63">
        <v>6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v>2026</v>
      </c>
      <c r="C11" s="63">
        <v>6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v>2026</v>
      </c>
      <c r="C12" s="63">
        <v>6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v>2026</v>
      </c>
      <c r="C13" s="63">
        <v>6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v>2026</v>
      </c>
      <c r="C14" s="63">
        <v>6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v>2026</v>
      </c>
      <c r="C16" s="87">
        <v>6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6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6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2"/>
      <c r="Q18" s="13"/>
    </row>
    <row r="19" spans="1:17" ht="19.5" customHeight="1" x14ac:dyDescent="0.25">
      <c r="A19" s="358"/>
      <c r="B19" s="94">
        <v>2026</v>
      </c>
      <c r="C19" s="94">
        <v>6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2"/>
      <c r="Q19" s="13"/>
    </row>
    <row r="20" spans="1:17" ht="19.5" customHeight="1" x14ac:dyDescent="0.25">
      <c r="A20" s="358"/>
      <c r="B20" s="94">
        <v>2026</v>
      </c>
      <c r="C20" s="94">
        <v>6</v>
      </c>
      <c r="D20" s="95">
        <v>345</v>
      </c>
      <c r="E20" s="96"/>
      <c r="F20" s="336"/>
      <c r="G20" s="97"/>
      <c r="H20" s="95"/>
      <c r="I20" s="98"/>
      <c r="J20" s="98"/>
      <c r="K20" s="95"/>
      <c r="L20" s="98"/>
      <c r="M20" s="264"/>
      <c r="N20" s="100"/>
      <c r="O20" s="289"/>
      <c r="P20" s="362"/>
      <c r="Q20" s="13"/>
    </row>
    <row r="21" spans="1:17" ht="19.5" customHeight="1" x14ac:dyDescent="0.25">
      <c r="A21" s="358"/>
      <c r="B21" s="102">
        <v>2026</v>
      </c>
      <c r="C21" s="102">
        <v>6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6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6</v>
      </c>
      <c r="D23" s="107">
        <v>348</v>
      </c>
      <c r="E23" s="96"/>
      <c r="F23" s="336"/>
      <c r="G23" s="97"/>
      <c r="H23" s="95"/>
      <c r="I23" s="98"/>
      <c r="J23" s="98"/>
      <c r="K23" s="95"/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358"/>
      <c r="B24" s="110">
        <v>2026</v>
      </c>
      <c r="C24" s="102">
        <v>6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v>2026</v>
      </c>
      <c r="C25" s="119">
        <v>6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v>2026</v>
      </c>
      <c r="C26" s="126">
        <v>6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358"/>
      <c r="B27" s="133">
        <v>2026</v>
      </c>
      <c r="C27" s="133">
        <v>6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358"/>
      <c r="B28" s="140">
        <v>2026</v>
      </c>
      <c r="C28" s="140">
        <v>6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v>2026</v>
      </c>
      <c r="C29" s="147">
        <v>6</v>
      </c>
      <c r="D29" s="148">
        <v>418</v>
      </c>
      <c r="E29" s="149"/>
      <c r="F29" s="152"/>
      <c r="G29" s="150"/>
      <c r="H29" s="148"/>
      <c r="I29" s="150"/>
      <c r="J29" s="150"/>
      <c r="K29" s="148"/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358"/>
      <c r="B30" s="147">
        <v>2026</v>
      </c>
      <c r="C30" s="147">
        <v>6</v>
      </c>
      <c r="D30" s="148">
        <v>501</v>
      </c>
      <c r="E30" s="154"/>
      <c r="F30" s="340"/>
      <c r="G30" s="155"/>
      <c r="H30" s="148"/>
      <c r="I30" s="150"/>
      <c r="J30" s="150"/>
      <c r="K30" s="148"/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358"/>
      <c r="B31" s="147">
        <v>2026</v>
      </c>
      <c r="C31" s="147">
        <v>6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358"/>
      <c r="B32" s="147">
        <v>2026</v>
      </c>
      <c r="C32" s="147">
        <v>6</v>
      </c>
      <c r="D32" s="148">
        <v>519</v>
      </c>
      <c r="E32" s="149"/>
      <c r="F32" s="152"/>
      <c r="G32" s="150"/>
      <c r="H32" s="148"/>
      <c r="I32" s="150"/>
      <c r="J32" s="150"/>
      <c r="K32" s="148"/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358"/>
      <c r="B33" s="147">
        <v>2026</v>
      </c>
      <c r="C33" s="147">
        <v>6</v>
      </c>
      <c r="D33" s="148">
        <v>602</v>
      </c>
      <c r="E33" s="154"/>
      <c r="F33" s="340"/>
      <c r="G33" s="155"/>
      <c r="H33" s="148"/>
      <c r="I33" s="150"/>
      <c r="J33" s="150"/>
      <c r="K33" s="148"/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358"/>
      <c r="B34" s="147">
        <v>2026</v>
      </c>
      <c r="C34" s="147">
        <v>6</v>
      </c>
      <c r="D34" s="148">
        <v>606</v>
      </c>
      <c r="E34" s="149"/>
      <c r="F34" s="152"/>
      <c r="G34" s="150"/>
      <c r="H34" s="148"/>
      <c r="I34" s="150"/>
      <c r="J34" s="150"/>
      <c r="K34" s="148"/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358"/>
      <c r="B35" s="147">
        <v>2026</v>
      </c>
      <c r="C35" s="147">
        <v>6</v>
      </c>
      <c r="D35" s="148">
        <v>609</v>
      </c>
      <c r="E35" s="149"/>
      <c r="F35" s="152"/>
      <c r="G35" s="150"/>
      <c r="H35" s="148"/>
      <c r="I35" s="150"/>
      <c r="J35" s="150"/>
      <c r="K35" s="148"/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v>2026</v>
      </c>
      <c r="C36" s="157">
        <v>6</v>
      </c>
      <c r="D36" s="158">
        <v>610</v>
      </c>
      <c r="E36" s="159"/>
      <c r="F36" s="341"/>
      <c r="G36" s="160"/>
      <c r="H36" s="158"/>
      <c r="I36" s="161"/>
      <c r="J36" s="161"/>
      <c r="K36" s="158"/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v>2026</v>
      </c>
      <c r="C37" s="166">
        <v>6</v>
      </c>
      <c r="D37" s="167">
        <v>508</v>
      </c>
      <c r="E37" s="168"/>
      <c r="F37" s="342"/>
      <c r="G37" s="169"/>
      <c r="H37" s="170"/>
      <c r="I37" s="170"/>
      <c r="J37" s="170"/>
      <c r="K37" s="167"/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358"/>
      <c r="B38" s="174">
        <v>2026</v>
      </c>
      <c r="C38" s="166">
        <v>6</v>
      </c>
      <c r="D38" s="175">
        <v>513</v>
      </c>
      <c r="E38" s="176"/>
      <c r="F38" s="343"/>
      <c r="G38" s="177"/>
      <c r="H38" s="178"/>
      <c r="I38" s="178"/>
      <c r="J38" s="178"/>
      <c r="K38" s="175"/>
      <c r="L38" s="178"/>
      <c r="M38" s="273"/>
      <c r="N38" s="180"/>
      <c r="O38" s="299"/>
      <c r="P38" s="366"/>
      <c r="Q38" s="13"/>
    </row>
    <row r="39" spans="1:17" ht="19.5" customHeight="1" thickBot="1" x14ac:dyDescent="0.3">
      <c r="A39" s="358"/>
      <c r="B39" s="174">
        <v>2026</v>
      </c>
      <c r="C39" s="166">
        <v>6</v>
      </c>
      <c r="D39" s="175">
        <v>520</v>
      </c>
      <c r="E39" s="176"/>
      <c r="F39" s="343"/>
      <c r="G39" s="177"/>
      <c r="H39" s="178"/>
      <c r="I39" s="178"/>
      <c r="J39" s="178"/>
      <c r="K39" s="175"/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v>2026</v>
      </c>
      <c r="C41" s="183">
        <v>6</v>
      </c>
      <c r="D41" s="184">
        <v>804</v>
      </c>
      <c r="E41" s="185"/>
      <c r="F41" s="344"/>
      <c r="G41" s="186"/>
      <c r="H41" s="187"/>
      <c r="I41" s="187"/>
      <c r="J41" s="187"/>
      <c r="K41" s="184"/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v>2026</v>
      </c>
      <c r="C42" s="192">
        <v>6</v>
      </c>
      <c r="D42" s="193">
        <v>703</v>
      </c>
      <c r="E42" s="194"/>
      <c r="F42" s="345"/>
      <c r="G42" s="195"/>
      <c r="H42" s="196"/>
      <c r="I42" s="197"/>
      <c r="J42" s="197"/>
      <c r="K42" s="193"/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25">
      <c r="A44" s="358"/>
      <c r="B44" s="201">
        <v>2026</v>
      </c>
      <c r="C44" s="202">
        <v>6</v>
      </c>
      <c r="D44" s="203">
        <v>705</v>
      </c>
      <c r="E44" s="204"/>
      <c r="F44" s="346"/>
      <c r="G44" s="205"/>
      <c r="H44" s="196"/>
      <c r="I44" s="206"/>
      <c r="J44" s="206"/>
      <c r="K44" s="203"/>
      <c r="L44" s="206"/>
      <c r="M44" s="276"/>
      <c r="N44" s="208"/>
      <c r="O44" s="302"/>
      <c r="P44" s="368"/>
      <c r="Q44" s="13"/>
    </row>
    <row r="45" spans="1:17" ht="19.5" customHeight="1" x14ac:dyDescent="0.25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25">
      <c r="A46" s="358"/>
      <c r="B46" s="201">
        <v>2026</v>
      </c>
      <c r="C46" s="202">
        <v>6</v>
      </c>
      <c r="D46" s="203">
        <v>707</v>
      </c>
      <c r="E46" s="204"/>
      <c r="F46" s="346"/>
      <c r="G46" s="205"/>
      <c r="H46" s="196"/>
      <c r="I46" s="206"/>
      <c r="J46" s="206"/>
      <c r="K46" s="203"/>
      <c r="L46" s="206"/>
      <c r="M46" s="276"/>
      <c r="N46" s="208"/>
      <c r="O46" s="302"/>
      <c r="P46" s="368"/>
      <c r="Q46" s="13"/>
    </row>
    <row r="47" spans="1:17" ht="19.5" customHeight="1" x14ac:dyDescent="0.25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6</v>
      </c>
      <c r="D49" s="203">
        <v>723</v>
      </c>
      <c r="E49" s="204"/>
      <c r="F49" s="346"/>
      <c r="G49" s="205"/>
      <c r="H49" s="196"/>
      <c r="I49" s="205"/>
      <c r="J49" s="206"/>
      <c r="K49" s="196"/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358"/>
      <c r="B52" s="239">
        <v>2026</v>
      </c>
      <c r="C52" s="240">
        <v>6</v>
      </c>
      <c r="D52" s="241">
        <v>815</v>
      </c>
      <c r="E52" s="249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59"/>
      <c r="Q52" s="13"/>
    </row>
    <row r="53" spans="1:17" ht="19.5" customHeight="1" thickBot="1" x14ac:dyDescent="0.3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v>2026</v>
      </c>
      <c r="C61" s="251">
        <v>6</v>
      </c>
      <c r="D61" s="252">
        <v>919</v>
      </c>
      <c r="E61" s="253">
        <v>46090</v>
      </c>
      <c r="F61" s="352"/>
      <c r="G61" s="254">
        <v>117</v>
      </c>
      <c r="H61" s="244"/>
      <c r="I61" s="255"/>
      <c r="J61" s="255"/>
      <c r="K61" s="252"/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47</v>
      </c>
      <c r="C63" s="6"/>
      <c r="D63" s="6"/>
      <c r="E63" s="6"/>
      <c r="F63" s="372"/>
      <c r="G63" s="371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53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12</v>
      </c>
    </row>
    <row r="71" spans="1:30" ht="15" customHeight="1" x14ac:dyDescent="0.2">
      <c r="H71" s="41" t="s">
        <v>41</v>
      </c>
      <c r="I71" s="46">
        <f>I70/I69</f>
        <v>0.20338983050847459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7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1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1</v>
      </c>
      <c r="J80" s="47"/>
      <c r="K80" s="43"/>
      <c r="M80" s="43"/>
      <c r="N80" s="43"/>
      <c r="O80" s="43"/>
    </row>
    <row r="81" spans="9:15" x14ac:dyDescent="0.2">
      <c r="I81" s="43">
        <f>SUM(I73:I80)</f>
        <v>11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D987A741-37CA-4E76-931B-EA55E3968655}">
      <formula1>"Not Processed, Not Sampled, Processed"</formula1>
    </dataValidation>
    <dataValidation type="list" allowBlank="1" showInputMessage="1" showErrorMessage="1" sqref="K3:K61" xr:uid="{5F8EC36C-F6F0-4332-9DBB-B27B539D1B38}">
      <formula1>"Completed, Preliminary "</formula1>
    </dataValidation>
    <dataValidation type="list" allowBlank="1" showInputMessage="1" showErrorMessage="1" sqref="I3:I61" xr:uid="{39188B0B-83CC-4CA2-B40C-D5EEEAF19151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5" x14ac:dyDescent="0.25"/>
  <sheetData>
    <row r="1" spans="1:14" ht="25.5" x14ac:dyDescent="0.35">
      <c r="A1" s="370" t="s">
        <v>44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Easterbrook, Grace K</cp:lastModifiedBy>
  <cp:lastPrinted>2025-02-25T19:01:29Z</cp:lastPrinted>
  <dcterms:created xsi:type="dcterms:W3CDTF">2022-01-20T21:02:50Z</dcterms:created>
  <dcterms:modified xsi:type="dcterms:W3CDTF">2026-03-17T17:03:04Z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