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7B970E8A-C4E2-416D-98AC-2629F4A2B714}" xr6:coauthVersionLast="47" xr6:coauthVersionMax="47" xr10:uidLastSave="{00000000-0000-0000-0000-000000000000}"/>
  <bookViews>
    <workbookView xWindow="28680" yWindow="-120" windowWidth="29040" windowHeight="15720" tabRatio="844" activeTab="5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Survey 5" sheetId="77" r:id="rId5"/>
    <sheet name="Survey 6" sheetId="78" r:id="rId6"/>
    <sheet name="20-mm Map" sheetId="72" r:id="rId7"/>
  </sheets>
  <definedNames>
    <definedName name="_xlnm._FilterDatabase" localSheetId="0" hidden="1">'Survey 1'!$H$1:$H$83</definedName>
    <definedName name="_xlnm._FilterDatabase" localSheetId="3" hidden="1">'Survey 4'!$H$1:$H$83</definedName>
    <definedName name="_xlnm._FilterDatabase" localSheetId="4" hidden="1">'Survey 5'!$H$1:$H$83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78" l="1"/>
  <c r="N82" i="78" s="1"/>
  <c r="J81" i="78"/>
  <c r="N81" i="78" s="1"/>
  <c r="J80" i="78"/>
  <c r="N80" i="78" s="1"/>
  <c r="J79" i="78"/>
  <c r="N79" i="78" s="1"/>
  <c r="J78" i="78"/>
  <c r="N78" i="78" s="1"/>
  <c r="J77" i="78"/>
  <c r="N77" i="78" s="1"/>
  <c r="J76" i="78"/>
  <c r="N76" i="78" s="1"/>
  <c r="J75" i="78"/>
  <c r="N75" i="78" s="1"/>
  <c r="J73" i="78"/>
  <c r="H70" i="78"/>
  <c r="G70" i="78"/>
  <c r="F70" i="78"/>
  <c r="M68" i="78"/>
  <c r="L68" i="78"/>
  <c r="J68" i="78"/>
  <c r="C63" i="78"/>
  <c r="C62" i="78"/>
  <c r="C61" i="78"/>
  <c r="C60" i="78"/>
  <c r="C59" i="78"/>
  <c r="C58" i="78"/>
  <c r="C57" i="78"/>
  <c r="C56" i="78"/>
  <c r="C55" i="78"/>
  <c r="C54" i="78"/>
  <c r="C53" i="78"/>
  <c r="C52" i="78"/>
  <c r="C51" i="78"/>
  <c r="C50" i="78"/>
  <c r="C49" i="78"/>
  <c r="C48" i="78"/>
  <c r="C47" i="78"/>
  <c r="C46" i="78"/>
  <c r="C45" i="78"/>
  <c r="C44" i="78"/>
  <c r="C43" i="78"/>
  <c r="C42" i="78"/>
  <c r="C41" i="78"/>
  <c r="C40" i="78"/>
  <c r="C39" i="78"/>
  <c r="C38" i="78"/>
  <c r="C37" i="78"/>
  <c r="C36" i="78"/>
  <c r="C35" i="78"/>
  <c r="C34" i="78"/>
  <c r="C33" i="78"/>
  <c r="C32" i="78"/>
  <c r="C31" i="78"/>
  <c r="C30" i="78"/>
  <c r="C29" i="78"/>
  <c r="C28" i="78"/>
  <c r="C27" i="78"/>
  <c r="C26" i="78"/>
  <c r="C25" i="78"/>
  <c r="C24" i="78"/>
  <c r="C23" i="78"/>
  <c r="C22" i="78"/>
  <c r="C19" i="78"/>
  <c r="C18" i="78"/>
  <c r="C17" i="78"/>
  <c r="C16" i="78"/>
  <c r="C4" i="78"/>
  <c r="C5" i="78" s="1"/>
  <c r="B4" i="78"/>
  <c r="B5" i="78" s="1"/>
  <c r="B6" i="78" s="1"/>
  <c r="B7" i="78" s="1"/>
  <c r="B8" i="78" s="1"/>
  <c r="B9" i="78" s="1"/>
  <c r="B10" i="78" s="1"/>
  <c r="B11" i="78" s="1"/>
  <c r="B12" i="78" s="1"/>
  <c r="B13" i="78" s="1"/>
  <c r="B14" i="78" s="1"/>
  <c r="B15" i="78" s="1"/>
  <c r="B16" i="78" s="1"/>
  <c r="B17" i="78" s="1"/>
  <c r="B18" i="78" s="1"/>
  <c r="B19" i="78" s="1"/>
  <c r="B20" i="78" s="1"/>
  <c r="B21" i="78" s="1"/>
  <c r="B22" i="78" s="1"/>
  <c r="B23" i="78" s="1"/>
  <c r="B24" i="78" s="1"/>
  <c r="B25" i="78" s="1"/>
  <c r="B26" i="78" s="1"/>
  <c r="B27" i="78" s="1"/>
  <c r="B28" i="78" s="1"/>
  <c r="B29" i="78" s="1"/>
  <c r="B30" i="78" s="1"/>
  <c r="B31" i="78" s="1"/>
  <c r="B32" i="78" s="1"/>
  <c r="B33" i="78" s="1"/>
  <c r="B34" i="78" s="1"/>
  <c r="B35" i="78" s="1"/>
  <c r="B36" i="78" s="1"/>
  <c r="B37" i="78" s="1"/>
  <c r="B38" i="78" s="1"/>
  <c r="B39" i="78" s="1"/>
  <c r="B40" i="78" s="1"/>
  <c r="B41" i="78" s="1"/>
  <c r="B42" i="78" s="1"/>
  <c r="B43" i="78" s="1"/>
  <c r="B44" i="78" s="1"/>
  <c r="B45" i="78" s="1"/>
  <c r="B46" i="78" s="1"/>
  <c r="B47" i="78" s="1"/>
  <c r="B48" i="78" s="1"/>
  <c r="B49" i="78" s="1"/>
  <c r="B50" i="78" s="1"/>
  <c r="B51" i="78" s="1"/>
  <c r="B52" i="78" s="1"/>
  <c r="B53" i="78" s="1"/>
  <c r="B54" i="78" s="1"/>
  <c r="B55" i="78" s="1"/>
  <c r="B56" i="78" s="1"/>
  <c r="B57" i="78" s="1"/>
  <c r="B58" i="78" s="1"/>
  <c r="B59" i="78" s="1"/>
  <c r="B60" i="78" s="1"/>
  <c r="B61" i="78" s="1"/>
  <c r="B62" i="78" s="1"/>
  <c r="B63" i="78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5" i="52"/>
  <c r="C6" i="52" s="1"/>
  <c r="B5" i="52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4" i="52"/>
  <c r="C19" i="52" s="1"/>
  <c r="B4" i="52"/>
  <c r="C63" i="77"/>
  <c r="C62" i="77"/>
  <c r="C61" i="77"/>
  <c r="C60" i="77"/>
  <c r="C59" i="77"/>
  <c r="C58" i="77"/>
  <c r="C57" i="77"/>
  <c r="C56" i="77"/>
  <c r="C55" i="77"/>
  <c r="C54" i="77"/>
  <c r="C53" i="77"/>
  <c r="C52" i="77"/>
  <c r="C51" i="77"/>
  <c r="C50" i="77"/>
  <c r="C49" i="77"/>
  <c r="C48" i="77"/>
  <c r="C47" i="77"/>
  <c r="C46" i="77"/>
  <c r="C45" i="77"/>
  <c r="C44" i="77"/>
  <c r="C43" i="77"/>
  <c r="C42" i="77"/>
  <c r="C41" i="77"/>
  <c r="C40" i="77"/>
  <c r="C39" i="77"/>
  <c r="C38" i="77"/>
  <c r="C37" i="77"/>
  <c r="C36" i="77"/>
  <c r="C35" i="77"/>
  <c r="C34" i="77"/>
  <c r="C33" i="77"/>
  <c r="C32" i="77"/>
  <c r="C31" i="77"/>
  <c r="C30" i="77"/>
  <c r="C29" i="77"/>
  <c r="C28" i="77"/>
  <c r="C27" i="77"/>
  <c r="C26" i="77"/>
  <c r="C25" i="77"/>
  <c r="C24" i="77"/>
  <c r="C23" i="77"/>
  <c r="C22" i="77"/>
  <c r="C18" i="77"/>
  <c r="C17" i="77"/>
  <c r="C16" i="77"/>
  <c r="C4" i="77"/>
  <c r="C19" i="77" s="1"/>
  <c r="B4" i="77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J72" i="73"/>
  <c r="J72" i="52"/>
  <c r="J72" i="77"/>
  <c r="J73" i="77" s="1"/>
  <c r="J72" i="76"/>
  <c r="J73" i="76" s="1"/>
  <c r="J72" i="74"/>
  <c r="C63" i="74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9" i="74"/>
  <c r="C18" i="74"/>
  <c r="C17" i="74"/>
  <c r="C16" i="74"/>
  <c r="C7" i="74"/>
  <c r="C8" i="74" s="1"/>
  <c r="C9" i="74" s="1"/>
  <c r="C10" i="74" s="1"/>
  <c r="C11" i="74" s="1"/>
  <c r="C12" i="74" s="1"/>
  <c r="C13" i="74" s="1"/>
  <c r="C14" i="74" s="1"/>
  <c r="C15" i="74" s="1"/>
  <c r="C6" i="74"/>
  <c r="C21" i="74" s="1"/>
  <c r="C5" i="74"/>
  <c r="C20" i="74" s="1"/>
  <c r="C4" i="74"/>
  <c r="B4" i="74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19" i="73" s="1"/>
  <c r="B4" i="73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J82" i="77"/>
  <c r="J81" i="77"/>
  <c r="J80" i="77"/>
  <c r="J79" i="77"/>
  <c r="J78" i="77"/>
  <c r="J77" i="77"/>
  <c r="J76" i="77"/>
  <c r="J75" i="77"/>
  <c r="J82" i="76"/>
  <c r="J81" i="76"/>
  <c r="J80" i="76"/>
  <c r="J79" i="76"/>
  <c r="J78" i="76"/>
  <c r="J77" i="76"/>
  <c r="J76" i="76"/>
  <c r="J75" i="76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8" i="76"/>
  <c r="C17" i="76"/>
  <c r="C16" i="76"/>
  <c r="C4" i="76"/>
  <c r="C5" i="76" s="1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J83" i="78" l="1"/>
  <c r="N83" i="78" s="1"/>
  <c r="C20" i="78"/>
  <c r="C6" i="78"/>
  <c r="C21" i="52"/>
  <c r="C7" i="52"/>
  <c r="C8" i="52" s="1"/>
  <c r="C9" i="52" s="1"/>
  <c r="C10" i="52" s="1"/>
  <c r="C11" i="52" s="1"/>
  <c r="C12" i="52" s="1"/>
  <c r="C13" i="52" s="1"/>
  <c r="C14" i="52" s="1"/>
  <c r="C15" i="52" s="1"/>
  <c r="C20" i="52"/>
  <c r="C5" i="77"/>
  <c r="J83" i="77"/>
  <c r="C5" i="73"/>
  <c r="C19" i="76"/>
  <c r="C20" i="76"/>
  <c r="C6" i="76"/>
  <c r="J83" i="76"/>
  <c r="C21" i="78" l="1"/>
  <c r="C7" i="78"/>
  <c r="C8" i="78" s="1"/>
  <c r="C9" i="78" s="1"/>
  <c r="C10" i="78" s="1"/>
  <c r="C11" i="78" s="1"/>
  <c r="C12" i="78" s="1"/>
  <c r="C13" i="78" s="1"/>
  <c r="C14" i="78" s="1"/>
  <c r="C15" i="78" s="1"/>
  <c r="C6" i="77"/>
  <c r="C20" i="77"/>
  <c r="C6" i="73"/>
  <c r="C20" i="73"/>
  <c r="C21" i="76"/>
  <c r="C7" i="76"/>
  <c r="C8" i="76" s="1"/>
  <c r="C9" i="76" s="1"/>
  <c r="C10" i="76" s="1"/>
  <c r="C11" i="76" s="1"/>
  <c r="C12" i="76" s="1"/>
  <c r="C13" i="76" s="1"/>
  <c r="C14" i="76" s="1"/>
  <c r="C15" i="76" s="1"/>
  <c r="C7" i="77" l="1"/>
  <c r="C8" i="77" s="1"/>
  <c r="C9" i="77" s="1"/>
  <c r="C10" i="77" s="1"/>
  <c r="C11" i="77" s="1"/>
  <c r="C12" i="77" s="1"/>
  <c r="C13" i="77" s="1"/>
  <c r="C14" i="77" s="1"/>
  <c r="C15" i="77" s="1"/>
  <c r="C21" i="77"/>
  <c r="C7" i="73"/>
  <c r="C8" i="73" s="1"/>
  <c r="C9" i="73" s="1"/>
  <c r="C10" i="73" s="1"/>
  <c r="C11" i="73" s="1"/>
  <c r="C12" i="73" s="1"/>
  <c r="C13" i="73" s="1"/>
  <c r="C14" i="73" s="1"/>
  <c r="C15" i="73" s="1"/>
  <c r="C21" i="73"/>
  <c r="J82" i="74"/>
  <c r="J81" i="74"/>
  <c r="J80" i="74"/>
  <c r="J79" i="74"/>
  <c r="J78" i="74"/>
  <c r="J77" i="74"/>
  <c r="J76" i="74"/>
  <c r="J75" i="74"/>
  <c r="J82" i="73"/>
  <c r="J81" i="73"/>
  <c r="J80" i="73"/>
  <c r="J79" i="73"/>
  <c r="J78" i="73"/>
  <c r="J77" i="73"/>
  <c r="J76" i="73"/>
  <c r="J75" i="73"/>
  <c r="J73" i="73"/>
  <c r="J79" i="52"/>
  <c r="J83" i="74" l="1"/>
  <c r="J83" i="73"/>
  <c r="J73" i="52"/>
  <c r="J75" i="52"/>
  <c r="J76" i="52"/>
  <c r="J77" i="52"/>
  <c r="J78" i="52"/>
  <c r="J80" i="52"/>
  <c r="J81" i="52"/>
  <c r="J82" i="52"/>
  <c r="J83" i="52" l="1"/>
  <c r="J73" i="74" l="1"/>
</calcChain>
</file>

<file path=xl/sharedStrings.xml><?xml version="1.0" encoding="utf-8"?>
<sst xmlns="http://schemas.openxmlformats.org/spreadsheetml/2006/main" count="496" uniqueCount="60">
  <si>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</si>
  <si>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</si>
  <si>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</si>
  <si>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</si>
  <si>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</si>
  <si>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</si>
  <si>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</si>
  <si>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</si>
  <si>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</si>
  <si>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</si>
  <si>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</si>
  <si>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</si>
  <si>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</si>
  <si>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</si>
  <si>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</si>
  <si>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</si>
  <si>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</si>
  <si>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</si>
  <si>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</si>
  <si>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</si>
  <si>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</si>
  <si>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carquinez strait</t>
  </si>
  <si>
    <t>Suisun bay and Marsh</t>
  </si>
  <si>
    <t>Sac River system</t>
  </si>
  <si>
    <t>Central &amp; south</t>
  </si>
  <si>
    <t>San Pablo Bay</t>
  </si>
  <si>
    <t>Suisun Bay &amp; Marsh</t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</si>
  <si>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</si>
  <si>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</si>
  <si>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</si>
  <si>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</si>
  <si>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</si>
  <si>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</si>
  <si>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</si>
  <si>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t>.</t>
  </si>
  <si>
    <t>*Reduced tow time (5 min)</t>
  </si>
  <si>
    <t>∆Reduced to time (2.5 min)</t>
  </si>
  <si>
    <t>≠ Dropped tow</t>
  </si>
  <si>
    <t>Processing is complete through 5/5/26</t>
  </si>
  <si>
    <t>901*∆</t>
  </si>
  <si>
    <t>910∆</t>
  </si>
  <si>
    <t>914∆</t>
  </si>
  <si>
    <t>Processing is complete through 5/12/26</t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</si>
  <si>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</si>
  <si>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</si>
  <si>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t>Preliminary</t>
  </si>
  <si>
    <t>720*</t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</si>
  <si>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</si>
  <si>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</si>
  <si>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720</t>
    </r>
    <r>
      <rPr>
        <vertAlign val="superscript"/>
        <sz val="14"/>
        <color rgb="FF000000"/>
        <rFont val="Arial"/>
        <family val="2"/>
      </rPr>
      <t>∆</t>
    </r>
  </si>
  <si>
    <r>
      <t>906</t>
    </r>
    <r>
      <rPr>
        <vertAlign val="superscript"/>
        <sz val="14"/>
        <color rgb="FF000000"/>
        <rFont val="Arial"/>
        <family val="2"/>
      </rPr>
      <t>∆</t>
    </r>
  </si>
  <si>
    <r>
      <t>901</t>
    </r>
    <r>
      <rPr>
        <vertAlign val="superscript"/>
        <sz val="14"/>
        <color rgb="FF000000"/>
        <rFont val="Arial"/>
        <family val="2"/>
      </rPr>
      <t>≠</t>
    </r>
  </si>
  <si>
    <r>
      <t>901</t>
    </r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</t>
    </r>
  </si>
  <si>
    <r>
      <t>902</t>
    </r>
    <r>
      <rPr>
        <sz val="14"/>
        <color rgb="FF000000"/>
        <rFont val="Arial"/>
        <family val="2"/>
      </rPr>
      <t>*</t>
    </r>
  </si>
  <si>
    <r>
      <t>910</t>
    </r>
    <r>
      <rPr>
        <sz val="14"/>
        <color rgb="FF000000"/>
        <rFont val="Arial"/>
        <family val="2"/>
      </rPr>
      <t>*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</si>
  <si>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</si>
  <si>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</si>
  <si>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</si>
  <si>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t>Processing is complete through 6/2/26</t>
  </si>
  <si>
    <t>Not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</si>
</sst>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167" fontId="5" fillId="21" borderId="16" xfId="0" applyNumberFormat="1" applyFont="1" applyFill="1" applyBorder="1" applyAlignment="1">
      <alignment horizontal="center" wrapText="1"/>
    </xf>
    <xf numFmtId="1" fontId="5" fillId="21" borderId="16" xfId="0" applyNumberFormat="1" applyFont="1" applyFill="1" applyBorder="1" applyAlignment="1">
      <alignment horizontal="center" wrapText="1"/>
    </xf>
    <xf numFmtId="0" fontId="5" fillId="21" borderId="16" xfId="0" applyFont="1" applyFill="1" applyBorder="1" applyAlignment="1">
      <alignment horizontal="center" wrapText="1"/>
    </xf>
    <xf numFmtId="0" fontId="5" fillId="22" borderId="16" xfId="0" applyFont="1" applyFill="1" applyBorder="1" applyAlignment="1">
      <alignment horizontal="center"/>
    </xf>
    <xf numFmtId="1" fontId="5" fillId="22" borderId="16" xfId="0" applyNumberFormat="1" applyFont="1" applyFill="1" applyBorder="1" applyAlignment="1">
      <alignment horizontal="center"/>
    </xf>
    <xf numFmtId="0" fontId="5" fillId="22" borderId="31" xfId="0" applyFont="1" applyFill="1" applyBorder="1" applyAlignment="1">
      <alignment horizontal="center"/>
    </xf>
    <xf numFmtId="0" fontId="5" fillId="22" borderId="17" xfId="0" applyFont="1" applyFill="1" applyBorder="1" applyAlignment="1">
      <alignment horizontal="center"/>
    </xf>
    <xf numFmtId="166" fontId="5" fillId="22" borderId="24" xfId="0" applyNumberFormat="1" applyFont="1" applyFill="1" applyBorder="1" applyAlignment="1">
      <alignment horizontal="center"/>
    </xf>
    <xf numFmtId="167" fontId="5" fillId="21" borderId="5" xfId="0" applyNumberFormat="1" applyFont="1" applyFill="1" applyBorder="1" applyAlignment="1">
      <alignment horizontal="center" wrapText="1"/>
    </xf>
    <xf numFmtId="1" fontId="5" fillId="21" borderId="5" xfId="0" applyNumberFormat="1" applyFont="1" applyFill="1" applyBorder="1" applyAlignment="1">
      <alignment horizontal="center" wrapText="1"/>
    </xf>
    <xf numFmtId="0" fontId="5" fillId="21" borderId="5" xfId="0" applyFont="1" applyFill="1" applyBorder="1" applyAlignment="1">
      <alignment horizontal="center" wrapText="1"/>
    </xf>
    <xf numFmtId="0" fontId="5" fillId="22" borderId="5" xfId="0" applyFont="1" applyFill="1" applyBorder="1" applyAlignment="1">
      <alignment horizontal="center"/>
    </xf>
    <xf numFmtId="1" fontId="5" fillId="22" borderId="5" xfId="0" applyNumberFormat="1" applyFont="1" applyFill="1" applyBorder="1" applyAlignment="1">
      <alignment horizontal="center"/>
    </xf>
    <xf numFmtId="0" fontId="5" fillId="22" borderId="29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5" fillId="22" borderId="21" xfId="0" applyNumberFormat="1" applyFont="1" applyFill="1" applyBorder="1" applyAlignment="1">
      <alignment horizontal="center"/>
    </xf>
    <xf numFmtId="167" fontId="5" fillId="16" borderId="5" xfId="0" applyNumberFormat="1" applyFont="1" applyFill="1" applyBorder="1" applyAlignment="1">
      <alignment horizontal="center" wrapText="1"/>
    </xf>
    <xf numFmtId="1" fontId="5" fillId="16" borderId="7" xfId="0" applyNumberFormat="1" applyFont="1" applyFill="1" applyBorder="1" applyAlignment="1">
      <alignment horizontal="center" wrapText="1"/>
    </xf>
    <xf numFmtId="0" fontId="5" fillId="16" borderId="7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/>
    </xf>
    <xf numFmtId="1" fontId="5" fillId="9" borderId="7" xfId="0" applyNumberFormat="1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166" fontId="5" fillId="9" borderId="22" xfId="0" applyNumberFormat="1" applyFont="1" applyFill="1" applyBorder="1" applyAlignment="1">
      <alignment horizontal="center"/>
    </xf>
    <xf numFmtId="167" fontId="5" fillId="16" borderId="7" xfId="0" applyNumberFormat="1" applyFont="1" applyFill="1" applyBorder="1" applyAlignment="1">
      <alignment horizontal="center" wrapText="1"/>
    </xf>
    <xf numFmtId="167" fontId="5" fillId="16" borderId="18" xfId="0" applyNumberFormat="1" applyFont="1" applyFill="1" applyBorder="1" applyAlignment="1">
      <alignment horizontal="center" wrapText="1"/>
    </xf>
    <xf numFmtId="1" fontId="5" fillId="16" borderId="18" xfId="0" applyNumberFormat="1" applyFont="1" applyFill="1" applyBorder="1" applyAlignment="1">
      <alignment horizontal="center" wrapText="1"/>
    </xf>
    <xf numFmtId="0" fontId="5" fillId="16" borderId="18" xfId="0" applyFont="1" applyFill="1" applyBorder="1" applyAlignment="1">
      <alignment horizontal="center" wrapText="1"/>
    </xf>
    <xf numFmtId="1" fontId="5" fillId="9" borderId="18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166" fontId="5" fillId="9" borderId="25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167" fontId="5" fillId="12" borderId="16" xfId="0" applyNumberFormat="1" applyFont="1" applyFill="1" applyBorder="1" applyAlignment="1">
      <alignment horizontal="center"/>
    </xf>
    <xf numFmtId="1" fontId="5" fillId="12" borderId="16" xfId="0" applyNumberFormat="1" applyFont="1" applyFill="1" applyBorder="1" applyAlignment="1">
      <alignment horizontal="center"/>
    </xf>
    <xf numFmtId="1" fontId="5" fillId="12" borderId="37" xfId="0" applyNumberFormat="1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2" borderId="40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8" xfId="0" applyNumberFormat="1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9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167" fontId="5" fillId="12" borderId="41" xfId="0" applyNumberFormat="1" applyFont="1" applyFill="1" applyBorder="1" applyAlignment="1">
      <alignment horizontal="center"/>
    </xf>
    <xf numFmtId="1" fontId="5" fillId="12" borderId="41" xfId="0" applyNumberFormat="1" applyFont="1" applyFill="1" applyBorder="1" applyAlignment="1">
      <alignment horizontal="center"/>
    </xf>
    <xf numFmtId="1" fontId="5" fillId="12" borderId="42" xfId="0" applyNumberFormat="1" applyFont="1" applyFill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0" fontId="5" fillId="19" borderId="16" xfId="0" applyFont="1" applyFill="1" applyBorder="1" applyAlignment="1">
      <alignment horizontal="center"/>
    </xf>
    <xf numFmtId="167" fontId="5" fillId="19" borderId="16" xfId="0" applyNumberFormat="1" applyFont="1" applyFill="1" applyBorder="1" applyAlignment="1">
      <alignment horizontal="center" wrapText="1"/>
    </xf>
    <xf numFmtId="1" fontId="5" fillId="19" borderId="16" xfId="0" applyNumberFormat="1" applyFont="1" applyFill="1" applyBorder="1" applyAlignment="1">
      <alignment horizontal="center" wrapText="1"/>
    </xf>
    <xf numFmtId="1" fontId="5" fillId="13" borderId="16" xfId="0" applyNumberFormat="1" applyFont="1" applyFill="1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166" fontId="5" fillId="13" borderId="24" xfId="0" applyNumberFormat="1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167" fontId="5" fillId="19" borderId="7" xfId="0" applyNumberFormat="1" applyFont="1" applyFill="1" applyBorder="1" applyAlignment="1">
      <alignment horizontal="center" wrapText="1"/>
    </xf>
    <xf numFmtId="1" fontId="5" fillId="19" borderId="7" xfId="0" applyNumberFormat="1" applyFont="1" applyFill="1" applyBorder="1" applyAlignment="1">
      <alignment horizontal="center" wrapText="1"/>
    </xf>
    <xf numFmtId="1" fontId="5" fillId="13" borderId="7" xfId="0" applyNumberFormat="1" applyFont="1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66" fontId="5" fillId="13" borderId="22" xfId="0" applyNumberFormat="1" applyFont="1" applyFill="1" applyBorder="1" applyAlignment="1">
      <alignment horizontal="center"/>
    </xf>
    <xf numFmtId="0" fontId="5" fillId="19" borderId="18" xfId="0" applyFont="1" applyFill="1" applyBorder="1" applyAlignment="1">
      <alignment horizontal="center"/>
    </xf>
    <xf numFmtId="0" fontId="5" fillId="19" borderId="14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167" fontId="5" fillId="19" borderId="18" xfId="0" applyNumberFormat="1" applyFont="1" applyFill="1" applyBorder="1" applyAlignment="1">
      <alignment horizontal="center" wrapText="1"/>
    </xf>
    <xf numFmtId="1" fontId="5" fillId="19" borderId="18" xfId="0" applyNumberFormat="1" applyFont="1" applyFill="1" applyBorder="1" applyAlignment="1">
      <alignment horizontal="center" wrapText="1"/>
    </xf>
    <xf numFmtId="1" fontId="5" fillId="13" borderId="18" xfId="0" applyNumberFormat="1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166" fontId="5" fillId="13" borderId="2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8" borderId="16" xfId="0" applyFont="1" applyFill="1" applyBorder="1" applyAlignment="1">
      <alignment horizontal="center"/>
    </xf>
    <xf numFmtId="167" fontId="5" fillId="18" borderId="5" xfId="0" applyNumberFormat="1" applyFont="1" applyFill="1" applyBorder="1" applyAlignment="1">
      <alignment horizontal="center" wrapText="1"/>
    </xf>
    <xf numFmtId="1" fontId="5" fillId="18" borderId="5" xfId="0" applyNumberFormat="1" applyFont="1" applyFill="1" applyBorder="1" applyAlignment="1">
      <alignment horizontal="center" wrapText="1"/>
    </xf>
    <xf numFmtId="1" fontId="5" fillId="15" borderId="5" xfId="0" applyNumberFormat="1" applyFont="1" applyFill="1" applyBorder="1" applyAlignment="1">
      <alignment horizontal="center"/>
    </xf>
    <xf numFmtId="0" fontId="5" fillId="15" borderId="29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166" fontId="5" fillId="15" borderId="21" xfId="0" applyNumberFormat="1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167" fontId="5" fillId="18" borderId="7" xfId="0" applyNumberFormat="1" applyFont="1" applyFill="1" applyBorder="1" applyAlignment="1">
      <alignment horizontal="center" wrapText="1"/>
    </xf>
    <xf numFmtId="1" fontId="5" fillId="15" borderId="7" xfId="0" applyNumberFormat="1" applyFont="1" applyFill="1" applyBorder="1" applyAlignment="1">
      <alignment horizontal="center"/>
    </xf>
    <xf numFmtId="0" fontId="5" fillId="15" borderId="28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166" fontId="5" fillId="15" borderId="22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/>
    </xf>
    <xf numFmtId="0" fontId="5" fillId="15" borderId="18" xfId="0" applyFont="1" applyFill="1" applyBorder="1" applyAlignment="1">
      <alignment horizontal="center"/>
    </xf>
    <xf numFmtId="167" fontId="5" fillId="15" borderId="18" xfId="0" applyNumberFormat="1" applyFont="1" applyFill="1" applyBorder="1" applyAlignment="1">
      <alignment horizontal="center"/>
    </xf>
    <xf numFmtId="1" fontId="5" fillId="15" borderId="18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 wrapText="1"/>
    </xf>
    <xf numFmtId="0" fontId="5" fillId="15" borderId="32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166" fontId="5" fillId="15" borderId="2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7" fontId="5" fillId="2" borderId="5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21" xfId="0" applyNumberFormat="1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7" fontId="5" fillId="2" borderId="7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6" fontId="5" fillId="2" borderId="22" xfId="0" applyNumberFormat="1" applyFont="1" applyFill="1" applyBorder="1" applyAlignment="1">
      <alignment horizontal="center"/>
    </xf>
    <xf numFmtId="167" fontId="5" fillId="8" borderId="7" xfId="0" applyNumberFormat="1" applyFont="1" applyFill="1" applyBorder="1" applyAlignment="1">
      <alignment horizontal="center" wrapText="1"/>
    </xf>
    <xf numFmtId="1" fontId="5" fillId="8" borderId="7" xfId="0" applyNumberFormat="1" applyFont="1" applyFill="1" applyBorder="1" applyAlignment="1">
      <alignment horizontal="center" wrapText="1"/>
    </xf>
    <xf numFmtId="0" fontId="5" fillId="17" borderId="14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167" fontId="5" fillId="8" borderId="14" xfId="0" applyNumberFormat="1" applyFont="1" applyFill="1" applyBorder="1" applyAlignment="1">
      <alignment horizontal="center" wrapText="1"/>
    </xf>
    <xf numFmtId="1" fontId="5" fillId="8" borderId="14" xfId="0" applyNumberFormat="1" applyFont="1" applyFill="1" applyBorder="1" applyAlignment="1">
      <alignment horizontal="center" wrapText="1"/>
    </xf>
    <xf numFmtId="0" fontId="5" fillId="8" borderId="14" xfId="0" applyFont="1" applyFill="1" applyBorder="1" applyAlignment="1">
      <alignment horizontal="center" wrapText="1"/>
    </xf>
    <xf numFmtId="1" fontId="5" fillId="2" borderId="14" xfId="0" applyNumberFormat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66" fontId="5" fillId="2" borderId="23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167" fontId="5" fillId="7" borderId="16" xfId="0" applyNumberFormat="1" applyFont="1" applyFill="1" applyBorder="1" applyAlignment="1">
      <alignment horizontal="center" wrapText="1"/>
    </xf>
    <xf numFmtId="1" fontId="5" fillId="7" borderId="16" xfId="0" applyNumberFormat="1" applyFont="1" applyFill="1" applyBorder="1" applyAlignment="1">
      <alignment horizontal="center" wrapText="1"/>
    </xf>
    <xf numFmtId="0" fontId="5" fillId="7" borderId="16" xfId="0" applyFont="1" applyFill="1" applyBorder="1" applyAlignment="1">
      <alignment horizontal="center" wrapText="1"/>
    </xf>
    <xf numFmtId="1" fontId="5" fillId="3" borderId="16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6" fontId="5" fillId="3" borderId="2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7" fontId="5" fillId="7" borderId="7" xfId="0" applyNumberFormat="1" applyFont="1" applyFill="1" applyBorder="1" applyAlignment="1">
      <alignment horizontal="center" wrapText="1"/>
    </xf>
    <xf numFmtId="1" fontId="5" fillId="7" borderId="7" xfId="0" applyNumberFormat="1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1" fontId="5" fillId="3" borderId="7" xfId="0" applyNumberFormat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6" fontId="5" fillId="3" borderId="22" xfId="0" applyNumberFormat="1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167" fontId="5" fillId="7" borderId="18" xfId="0" applyNumberFormat="1" applyFont="1" applyFill="1" applyBorder="1" applyAlignment="1">
      <alignment horizontal="center" wrapText="1"/>
    </xf>
    <xf numFmtId="1" fontId="5" fillId="7" borderId="18" xfId="0" applyNumberFormat="1" applyFont="1" applyFill="1" applyBorder="1" applyAlignment="1">
      <alignment horizontal="center" wrapText="1"/>
    </xf>
    <xf numFmtId="0" fontId="5" fillId="7" borderId="18" xfId="0" applyFont="1" applyFill="1" applyBorder="1" applyAlignment="1">
      <alignment horizontal="center" wrapText="1"/>
    </xf>
    <xf numFmtId="1" fontId="5" fillId="3" borderId="18" xfId="0" applyNumberFormat="1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6" fontId="5" fillId="3" borderId="25" xfId="0" applyNumberFormat="1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7" fontId="5" fillId="6" borderId="5" xfId="0" applyNumberFormat="1" applyFont="1" applyFill="1" applyBorder="1" applyAlignment="1">
      <alignment horizontal="center" wrapText="1"/>
    </xf>
    <xf numFmtId="1" fontId="5" fillId="6" borderId="5" xfId="0" applyNumberFormat="1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" fontId="5" fillId="4" borderId="5" xfId="0" applyNumberFormat="1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5" fillId="4" borderId="21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7" fontId="5" fillId="6" borderId="7" xfId="0" applyNumberFormat="1" applyFont="1" applyFill="1" applyBorder="1" applyAlignment="1">
      <alignment horizontal="center" wrapText="1"/>
    </xf>
    <xf numFmtId="1" fontId="5" fillId="6" borderId="7" xfId="0" applyNumberFormat="1" applyFont="1" applyFill="1" applyBorder="1" applyAlignment="1">
      <alignment horizontal="center" wrapText="1"/>
    </xf>
    <xf numFmtId="1" fontId="5" fillId="4" borderId="7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6" fontId="5" fillId="4" borderId="22" xfId="0" applyNumberFormat="1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167" fontId="5" fillId="14" borderId="7" xfId="0" applyNumberFormat="1" applyFont="1" applyFill="1" applyBorder="1" applyAlignment="1">
      <alignment horizontal="center" wrapText="1"/>
    </xf>
    <xf numFmtId="1" fontId="5" fillId="14" borderId="7" xfId="0" applyNumberFormat="1" applyFont="1" applyFill="1" applyBorder="1" applyAlignment="1">
      <alignment horizontal="center" wrapText="1"/>
    </xf>
    <xf numFmtId="0" fontId="5" fillId="14" borderId="7" xfId="0" applyFont="1" applyFill="1" applyBorder="1" applyAlignment="1">
      <alignment horizontal="center" wrapText="1"/>
    </xf>
    <xf numFmtId="164" fontId="5" fillId="14" borderId="7" xfId="0" applyNumberFormat="1" applyFont="1" applyFill="1" applyBorder="1" applyAlignment="1">
      <alignment horizontal="center" wrapText="1"/>
    </xf>
    <xf numFmtId="0" fontId="5" fillId="11" borderId="2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166" fontId="5" fillId="11" borderId="22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166" fontId="5" fillId="6" borderId="22" xfId="0" applyNumberFormat="1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/>
    </xf>
    <xf numFmtId="167" fontId="5" fillId="6" borderId="14" xfId="0" applyNumberFormat="1" applyFont="1" applyFill="1" applyBorder="1" applyAlignment="1">
      <alignment horizontal="center" wrapText="1"/>
    </xf>
    <xf numFmtId="1" fontId="5" fillId="6" borderId="14" xfId="0" applyNumberFormat="1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1" fontId="5" fillId="4" borderId="14" xfId="0" applyNumberFormat="1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166" fontId="5" fillId="4" borderId="2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10" borderId="20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0" borderId="1" xfId="0" applyFont="1" applyFill="1" applyBorder="1"/>
    <xf numFmtId="0" fontId="4" fillId="5" borderId="33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4" fillId="5" borderId="36" xfId="0" applyNumberFormat="1" applyFont="1" applyFill="1" applyBorder="1" applyAlignment="1">
      <alignment horizontal="center" vertical="center" wrapText="1"/>
    </xf>
    <xf numFmtId="166" fontId="5" fillId="12" borderId="21" xfId="0" applyNumberFormat="1" applyFont="1" applyFill="1" applyBorder="1" applyAlignment="1">
      <alignment horizontal="center"/>
    </xf>
    <xf numFmtId="166" fontId="5" fillId="12" borderId="45" xfId="0" applyNumberFormat="1" applyFont="1" applyFill="1" applyBorder="1" applyAlignment="1">
      <alignment horizontal="center"/>
    </xf>
    <xf numFmtId="166" fontId="5" fillId="10" borderId="20" xfId="0" applyNumberFormat="1" applyFont="1" applyFill="1" applyBorder="1" applyAlignment="1">
      <alignment horizontal="center"/>
    </xf>
    <xf numFmtId="166" fontId="5" fillId="10" borderId="0" xfId="0" applyNumberFormat="1" applyFont="1" applyFill="1" applyAlignment="1">
      <alignment horizontal="center"/>
    </xf>
    <xf numFmtId="166" fontId="5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6" fillId="12" borderId="5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8" xfId="0" applyNumberFormat="1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166" fontId="6" fillId="12" borderId="21" xfId="0" applyNumberFormat="1" applyFont="1" applyFill="1" applyBorder="1" applyAlignment="1">
      <alignment horizontal="center"/>
    </xf>
    <xf numFmtId="166" fontId="6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16" borderId="7" xfId="0" applyFont="1" applyFill="1" applyBorder="1" applyAlignment="1">
      <alignment horizontal="center"/>
    </xf>
    <xf numFmtId="0" fontId="5" fillId="21" borderId="7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21" borderId="16" xfId="0" applyFont="1" applyFill="1" applyBorder="1" applyAlignment="1">
      <alignment horizontal="center"/>
    </xf>
    <xf numFmtId="0" fontId="5" fillId="16" borderId="18" xfId="0" applyFont="1" applyFill="1" applyBorder="1" applyAlignment="1">
      <alignment horizontal="center"/>
    </xf>
    <xf numFmtId="0" fontId="5" fillId="23" borderId="7" xfId="0" applyFont="1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0" fontId="5" fillId="24" borderId="16" xfId="0" applyFont="1" applyFill="1" applyBorder="1" applyAlignment="1">
      <alignment horizontal="center"/>
    </xf>
    <xf numFmtId="0" fontId="5" fillId="24" borderId="7" xfId="0" applyFont="1" applyFill="1" applyBorder="1" applyAlignment="1">
      <alignment horizontal="center"/>
    </xf>
    <xf numFmtId="0" fontId="5" fillId="24" borderId="18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wrapText="1"/>
    </xf>
    <xf numFmtId="0" fontId="5" fillId="26" borderId="7" xfId="0" applyFont="1" applyFill="1" applyBorder="1" applyAlignment="1">
      <alignment horizontal="center"/>
    </xf>
    <xf numFmtId="167" fontId="5" fillId="25" borderId="7" xfId="0" applyNumberFormat="1" applyFont="1" applyFill="1" applyBorder="1" applyAlignment="1">
      <alignment horizontal="center" wrapText="1"/>
    </xf>
    <xf numFmtId="1" fontId="5" fillId="25" borderId="7" xfId="0" applyNumberFormat="1" applyFont="1" applyFill="1" applyBorder="1" applyAlignment="1">
      <alignment horizontal="center" wrapText="1"/>
    </xf>
    <xf numFmtId="0" fontId="5" fillId="26" borderId="5" xfId="0" applyFont="1" applyFill="1" applyBorder="1" applyAlignment="1">
      <alignment horizontal="center"/>
    </xf>
    <xf numFmtId="1" fontId="5" fillId="26" borderId="7" xfId="0" applyNumberFormat="1" applyFont="1" applyFill="1" applyBorder="1" applyAlignment="1">
      <alignment horizontal="center"/>
    </xf>
    <xf numFmtId="0" fontId="5" fillId="26" borderId="28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166" fontId="5" fillId="26" borderId="22" xfId="0" applyNumberFormat="1" applyFont="1" applyFill="1" applyBorder="1" applyAlignment="1">
      <alignment horizontal="center"/>
    </xf>
    <xf numFmtId="166" fontId="4" fillId="5" borderId="33" xfId="0" applyNumberFormat="1" applyFont="1" applyFill="1" applyBorder="1" applyAlignment="1">
      <alignment horizontal="center" vertical="center" wrapText="1"/>
    </xf>
    <xf numFmtId="166" fontId="5" fillId="12" borderId="16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5" fillId="12" borderId="41" xfId="0" applyNumberFormat="1" applyFont="1" applyFill="1" applyBorder="1" applyAlignment="1">
      <alignment horizontal="center"/>
    </xf>
    <xf numFmtId="166" fontId="5" fillId="19" borderId="16" xfId="0" applyNumberFormat="1" applyFont="1" applyFill="1" applyBorder="1" applyAlignment="1">
      <alignment horizontal="center" wrapText="1"/>
    </xf>
    <xf numFmtId="166" fontId="5" fillId="19" borderId="7" xfId="0" applyNumberFormat="1" applyFont="1" applyFill="1" applyBorder="1" applyAlignment="1">
      <alignment horizontal="center" wrapText="1"/>
    </xf>
    <xf numFmtId="166" fontId="5" fillId="19" borderId="18" xfId="0" applyNumberFormat="1" applyFont="1" applyFill="1" applyBorder="1" applyAlignment="1">
      <alignment horizontal="center" wrapText="1"/>
    </xf>
    <xf numFmtId="166" fontId="5" fillId="18" borderId="5" xfId="0" applyNumberFormat="1" applyFont="1" applyFill="1" applyBorder="1" applyAlignment="1">
      <alignment horizontal="center" wrapText="1"/>
    </xf>
    <xf numFmtId="166" fontId="5" fillId="15" borderId="18" xfId="0" applyNumberFormat="1" applyFont="1" applyFill="1" applyBorder="1" applyAlignment="1">
      <alignment horizontal="center"/>
    </xf>
    <xf numFmtId="166" fontId="5" fillId="2" borderId="5" xfId="0" applyNumberFormat="1" applyFont="1" applyFill="1" applyBorder="1" applyAlignment="1">
      <alignment horizontal="center"/>
    </xf>
    <xf numFmtId="166" fontId="5" fillId="2" borderId="7" xfId="0" applyNumberFormat="1" applyFont="1" applyFill="1" applyBorder="1" applyAlignment="1">
      <alignment horizontal="center"/>
    </xf>
    <xf numFmtId="166" fontId="5" fillId="8" borderId="7" xfId="0" applyNumberFormat="1" applyFont="1" applyFill="1" applyBorder="1" applyAlignment="1">
      <alignment horizontal="center" wrapText="1"/>
    </xf>
    <xf numFmtId="166" fontId="5" fillId="8" borderId="14" xfId="0" applyNumberFormat="1" applyFont="1" applyFill="1" applyBorder="1" applyAlignment="1">
      <alignment horizontal="center" wrapText="1"/>
    </xf>
    <xf numFmtId="166" fontId="5" fillId="7" borderId="16" xfId="0" applyNumberFormat="1" applyFont="1" applyFill="1" applyBorder="1" applyAlignment="1">
      <alignment horizontal="center" wrapText="1"/>
    </xf>
    <xf numFmtId="166" fontId="5" fillId="7" borderId="7" xfId="0" applyNumberFormat="1" applyFont="1" applyFill="1" applyBorder="1" applyAlignment="1">
      <alignment horizontal="center" wrapText="1"/>
    </xf>
    <xf numFmtId="166" fontId="5" fillId="7" borderId="18" xfId="0" applyNumberFormat="1" applyFont="1" applyFill="1" applyBorder="1" applyAlignment="1">
      <alignment horizontal="center" wrapText="1"/>
    </xf>
    <xf numFmtId="166" fontId="5" fillId="6" borderId="5" xfId="0" applyNumberFormat="1" applyFont="1" applyFill="1" applyBorder="1" applyAlignment="1">
      <alignment horizontal="center" wrapText="1"/>
    </xf>
    <xf numFmtId="166" fontId="5" fillId="6" borderId="7" xfId="0" applyNumberFormat="1" applyFont="1" applyFill="1" applyBorder="1" applyAlignment="1">
      <alignment horizontal="center" wrapText="1"/>
    </xf>
    <xf numFmtId="166" fontId="5" fillId="14" borderId="7" xfId="0" applyNumberFormat="1" applyFont="1" applyFill="1" applyBorder="1" applyAlignment="1">
      <alignment horizontal="center" wrapText="1"/>
    </xf>
    <xf numFmtId="166" fontId="5" fillId="6" borderId="14" xfId="0" applyNumberFormat="1" applyFont="1" applyFill="1" applyBorder="1" applyAlignment="1">
      <alignment horizontal="center" wrapText="1"/>
    </xf>
    <xf numFmtId="166" fontId="5" fillId="21" borderId="16" xfId="0" applyNumberFormat="1" applyFont="1" applyFill="1" applyBorder="1" applyAlignment="1">
      <alignment horizontal="center" wrapText="1"/>
    </xf>
    <xf numFmtId="166" fontId="5" fillId="21" borderId="5" xfId="0" applyNumberFormat="1" applyFont="1" applyFill="1" applyBorder="1" applyAlignment="1">
      <alignment horizontal="center" wrapText="1"/>
    </xf>
    <xf numFmtId="166" fontId="5" fillId="16" borderId="5" xfId="0" applyNumberFormat="1" applyFont="1" applyFill="1" applyBorder="1" applyAlignment="1">
      <alignment horizontal="center" wrapText="1"/>
    </xf>
    <xf numFmtId="166" fontId="5" fillId="16" borderId="7" xfId="0" applyNumberFormat="1" applyFont="1" applyFill="1" applyBorder="1" applyAlignment="1">
      <alignment horizontal="center" wrapText="1"/>
    </xf>
    <xf numFmtId="166" fontId="5" fillId="25" borderId="7" xfId="0" applyNumberFormat="1" applyFont="1" applyFill="1" applyBorder="1" applyAlignment="1">
      <alignment horizontal="center" wrapText="1"/>
    </xf>
    <xf numFmtId="166" fontId="5" fillId="16" borderId="18" xfId="0" applyNumberFormat="1" applyFont="1" applyFill="1" applyBorder="1" applyAlignment="1">
      <alignment horizontal="center" wrapText="1"/>
    </xf>
    <xf numFmtId="166" fontId="5" fillId="10" borderId="0" xfId="0" applyNumberFormat="1" applyFont="1" applyFill="1" applyAlignment="1">
      <alignment horizontal="center" vertical="center"/>
    </xf>
    <xf numFmtId="0" fontId="1" fillId="0" borderId="0" xfId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2" fontId="4" fillId="5" borderId="36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25" borderId="16" xfId="0" applyFont="1" applyFill="1" applyBorder="1" applyAlignment="1">
      <alignment horizontal="center"/>
    </xf>
    <xf numFmtId="0" fontId="5" fillId="25" borderId="5" xfId="0" applyFont="1" applyFill="1" applyBorder="1" applyAlignment="1">
      <alignment horizontal="center"/>
    </xf>
    <xf numFmtId="0" fontId="5" fillId="26" borderId="16" xfId="0" applyFont="1" applyFill="1" applyBorder="1" applyAlignment="1">
      <alignment horizontal="center"/>
    </xf>
    <xf numFmtId="167" fontId="5" fillId="25" borderId="16" xfId="0" applyNumberFormat="1" applyFont="1" applyFill="1" applyBorder="1" applyAlignment="1">
      <alignment horizontal="center" wrapText="1"/>
    </xf>
    <xf numFmtId="166" fontId="5" fillId="25" borderId="16" xfId="0" applyNumberFormat="1" applyFont="1" applyFill="1" applyBorder="1" applyAlignment="1">
      <alignment horizontal="center" wrapText="1"/>
    </xf>
    <xf numFmtId="1" fontId="5" fillId="25" borderId="16" xfId="0" applyNumberFormat="1" applyFont="1" applyFill="1" applyBorder="1" applyAlignment="1">
      <alignment horizontal="center" wrapText="1"/>
    </xf>
    <xf numFmtId="0" fontId="5" fillId="25" borderId="16" xfId="0" applyFont="1" applyFill="1" applyBorder="1" applyAlignment="1">
      <alignment horizontal="center" wrapText="1"/>
    </xf>
    <xf numFmtId="1" fontId="5" fillId="26" borderId="16" xfId="0" applyNumberFormat="1" applyFont="1" applyFill="1" applyBorder="1" applyAlignment="1">
      <alignment horizontal="center"/>
    </xf>
    <xf numFmtId="0" fontId="5" fillId="26" borderId="31" xfId="0" applyFont="1" applyFill="1" applyBorder="1" applyAlignment="1">
      <alignment horizontal="center"/>
    </xf>
    <xf numFmtId="0" fontId="5" fillId="26" borderId="17" xfId="0" applyFont="1" applyFill="1" applyBorder="1" applyAlignment="1">
      <alignment horizontal="center"/>
    </xf>
    <xf numFmtId="166" fontId="5" fillId="26" borderId="24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2" fontId="5" fillId="10" borderId="20" xfId="0" applyNumberFormat="1" applyFont="1" applyFill="1" applyBorder="1" applyAlignment="1">
      <alignment horizontal="center"/>
    </xf>
    <xf numFmtId="2" fontId="5" fillId="1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/>
    <xf numFmtId="2" fontId="0" fillId="10" borderId="0" xfId="0" applyNumberFormat="1" applyFill="1" applyAlignment="1">
      <alignment horizontal="center"/>
    </xf>
    <xf numFmtId="0" fontId="5" fillId="9" borderId="33" xfId="0" applyFont="1" applyFill="1" applyBorder="1" applyAlignment="1">
      <alignment horizontal="center" vertical="center" textRotation="90"/>
    </xf>
    <xf numFmtId="0" fontId="5" fillId="12" borderId="33" xfId="0" applyFont="1" applyFill="1" applyBorder="1" applyAlignment="1">
      <alignment horizontal="center" vertical="center" textRotation="90"/>
    </xf>
    <xf numFmtId="0" fontId="5" fillId="13" borderId="33" xfId="0" applyFont="1" applyFill="1" applyBorder="1" applyAlignment="1">
      <alignment horizontal="center" vertical="center" textRotation="90"/>
    </xf>
    <xf numFmtId="0" fontId="5" fillId="15" borderId="33" xfId="0" applyFont="1" applyFill="1" applyBorder="1" applyAlignment="1">
      <alignment horizontal="center" vertical="center" textRotation="90" wrapText="1"/>
    </xf>
    <xf numFmtId="0" fontId="5" fillId="2" borderId="33" xfId="0" applyFont="1" applyFill="1" applyBorder="1" applyAlignment="1">
      <alignment horizontal="center" vertical="center" textRotation="90"/>
    </xf>
    <xf numFmtId="0" fontId="5" fillId="3" borderId="33" xfId="0" applyFont="1" applyFill="1" applyBorder="1" applyAlignment="1">
      <alignment horizontal="center" vertical="center" textRotation="90"/>
    </xf>
    <xf numFmtId="0" fontId="5" fillId="4" borderId="46" xfId="0" applyFont="1" applyFill="1" applyBorder="1" applyAlignment="1">
      <alignment horizontal="center" vertical="center" textRotation="90"/>
    </xf>
    <xf numFmtId="0" fontId="5" fillId="4" borderId="47" xfId="0" applyFont="1" applyFill="1" applyBorder="1" applyAlignment="1">
      <alignment horizontal="center" vertical="center" textRotation="90"/>
    </xf>
    <xf numFmtId="0" fontId="5" fillId="4" borderId="41" xfId="0" applyFont="1" applyFill="1" applyBorder="1" applyAlignment="1">
      <alignment horizontal="center" vertical="center" textRotation="90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opLeftCell="A57" zoomScaleNormal="100" zoomScaleSheetLayoutView="100" workbookViewId="0">
      <selection activeCell="U77" sqref="U7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6" t="s">
        <v>25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6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6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6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6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6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6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6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6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6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6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6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6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>
        <v>46097</v>
      </c>
      <c r="F16" s="275">
        <v>13.1</v>
      </c>
      <c r="G16" s="84">
        <v>63</v>
      </c>
      <c r="H16" s="81">
        <v>1</v>
      </c>
      <c r="I16" s="81" t="s">
        <v>30</v>
      </c>
      <c r="J16" s="85"/>
      <c r="K16" s="85" t="s">
        <v>45</v>
      </c>
      <c r="L16" s="86"/>
      <c r="M16" s="87"/>
      <c r="N16" s="88"/>
      <c r="O16" s="337" t="s">
        <v>18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>
        <v>46099</v>
      </c>
      <c r="F17" s="276">
        <v>23.7</v>
      </c>
      <c r="G17" s="92">
        <v>48</v>
      </c>
      <c r="H17" s="90">
        <v>3</v>
      </c>
      <c r="I17" s="90" t="s">
        <v>28</v>
      </c>
      <c r="J17" s="93">
        <v>6</v>
      </c>
      <c r="K17" s="93" t="s">
        <v>29</v>
      </c>
      <c r="L17" s="94">
        <v>8</v>
      </c>
      <c r="M17" s="95">
        <v>15</v>
      </c>
      <c r="N17" s="96">
        <v>11</v>
      </c>
      <c r="O17" s="337"/>
      <c r="P17" s="3"/>
    </row>
    <row r="18" spans="1:16" ht="19.5" customHeight="1" thickBot="1" x14ac:dyDescent="0.25">
      <c r="A18" s="5"/>
      <c r="B18" s="89">
        <f t="shared" ref="B18:B63" si="2">B17</f>
        <v>2026</v>
      </c>
      <c r="C18" s="89">
        <f>C3</f>
        <v>1</v>
      </c>
      <c r="D18" s="90">
        <v>343</v>
      </c>
      <c r="E18" s="91">
        <v>46099</v>
      </c>
      <c r="F18" s="276">
        <v>39.1</v>
      </c>
      <c r="G18" s="92">
        <v>41</v>
      </c>
      <c r="H18" s="90">
        <v>3</v>
      </c>
      <c r="I18" s="90" t="s">
        <v>28</v>
      </c>
      <c r="J18" s="93">
        <v>41</v>
      </c>
      <c r="K18" s="93" t="s">
        <v>29</v>
      </c>
      <c r="L18" s="94">
        <v>7</v>
      </c>
      <c r="M18" s="95">
        <v>21</v>
      </c>
      <c r="N18" s="96">
        <v>10.9473684210526</v>
      </c>
      <c r="O18" s="337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>
        <v>46099</v>
      </c>
      <c r="F19" s="276">
        <v>27.9</v>
      </c>
      <c r="G19" s="92">
        <v>32</v>
      </c>
      <c r="H19" s="90">
        <v>3</v>
      </c>
      <c r="I19" s="90" t="s">
        <v>28</v>
      </c>
      <c r="J19" s="93">
        <v>223</v>
      </c>
      <c r="K19" s="93" t="s">
        <v>29</v>
      </c>
      <c r="L19" s="94">
        <v>9</v>
      </c>
      <c r="M19" s="95">
        <v>25</v>
      </c>
      <c r="N19" s="96">
        <v>12.137755102040799</v>
      </c>
      <c r="O19" s="337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>
        <v>46099</v>
      </c>
      <c r="F20" s="276">
        <v>33.700000000000003</v>
      </c>
      <c r="G20" s="92">
        <v>33</v>
      </c>
      <c r="H20" s="90">
        <v>3</v>
      </c>
      <c r="I20" s="90" t="s">
        <v>28</v>
      </c>
      <c r="J20" s="93">
        <v>1699</v>
      </c>
      <c r="K20" s="93" t="s">
        <v>29</v>
      </c>
      <c r="L20" s="94">
        <v>9</v>
      </c>
      <c r="M20" s="95">
        <v>25</v>
      </c>
      <c r="N20" s="96"/>
      <c r="O20" s="337"/>
      <c r="P20" s="3"/>
    </row>
    <row r="21" spans="1:16" ht="19.5" customHeight="1" thickBot="1" x14ac:dyDescent="0.25">
      <c r="A21" s="5"/>
      <c r="B21" s="97">
        <f t="shared" si="2"/>
        <v>2026</v>
      </c>
      <c r="C21" s="98">
        <f>C6</f>
        <v>1</v>
      </c>
      <c r="D21" s="99">
        <v>346</v>
      </c>
      <c r="E21" s="100">
        <v>46099</v>
      </c>
      <c r="F21" s="277">
        <v>18.100000000000001</v>
      </c>
      <c r="G21" s="101">
        <v>43</v>
      </c>
      <c r="H21" s="99">
        <v>1</v>
      </c>
      <c r="I21" s="99" t="s">
        <v>28</v>
      </c>
      <c r="J21" s="102">
        <v>930</v>
      </c>
      <c r="K21" s="102" t="s">
        <v>45</v>
      </c>
      <c r="L21" s="103">
        <v>11</v>
      </c>
      <c r="M21" s="104">
        <v>21</v>
      </c>
      <c r="N21" s="105"/>
      <c r="O21" s="337"/>
      <c r="P21" s="3"/>
    </row>
    <row r="22" spans="1:16" ht="19.5" customHeight="1" thickBot="1" x14ac:dyDescent="0.25">
      <c r="A22" s="5"/>
      <c r="B22" s="106">
        <f t="shared" si="2"/>
        <v>2026</v>
      </c>
      <c r="C22" s="107">
        <f>C3</f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8" t="s">
        <v>19</v>
      </c>
      <c r="P22" s="3"/>
    </row>
    <row r="23" spans="1:16" ht="19.5" customHeight="1" thickBot="1" x14ac:dyDescent="0.25">
      <c r="A23" s="5"/>
      <c r="B23" s="106">
        <f t="shared" si="2"/>
        <v>2026</v>
      </c>
      <c r="C23" s="114">
        <f>C3</f>
        <v>1</v>
      </c>
      <c r="D23" s="115">
        <v>404</v>
      </c>
      <c r="E23" s="116">
        <v>46097</v>
      </c>
      <c r="F23" s="278">
        <v>7.6</v>
      </c>
      <c r="G23" s="109">
        <v>81</v>
      </c>
      <c r="H23" s="106">
        <v>2</v>
      </c>
      <c r="I23" s="115" t="s">
        <v>30</v>
      </c>
      <c r="J23" s="117"/>
      <c r="K23" s="117" t="s">
        <v>45</v>
      </c>
      <c r="L23" s="118"/>
      <c r="M23" s="119"/>
      <c r="N23" s="120"/>
      <c r="O23" s="338"/>
      <c r="P23" s="3"/>
    </row>
    <row r="24" spans="1:16" ht="19.5" customHeight="1" thickBot="1" x14ac:dyDescent="0.25">
      <c r="A24" s="5"/>
      <c r="B24" s="121">
        <f t="shared" si="2"/>
        <v>2026</v>
      </c>
      <c r="C24" s="121">
        <f>C3</f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8"/>
      <c r="P24" s="3"/>
    </row>
    <row r="25" spans="1:16" ht="19.5" customHeight="1" thickBot="1" x14ac:dyDescent="0.25">
      <c r="A25" s="5"/>
      <c r="B25" s="129">
        <f t="shared" si="2"/>
        <v>2026</v>
      </c>
      <c r="C25" s="129">
        <f>C3</f>
        <v>1</v>
      </c>
      <c r="D25" s="130">
        <v>411</v>
      </c>
      <c r="E25" s="131">
        <v>46099</v>
      </c>
      <c r="F25" s="280">
        <v>13.7</v>
      </c>
      <c r="G25" s="132">
        <v>34</v>
      </c>
      <c r="H25" s="133">
        <v>1</v>
      </c>
      <c r="I25" s="130" t="s">
        <v>28</v>
      </c>
      <c r="J25" s="132">
        <v>1</v>
      </c>
      <c r="K25" s="132" t="s">
        <v>45</v>
      </c>
      <c r="L25" s="134">
        <v>6</v>
      </c>
      <c r="M25" s="135">
        <v>6</v>
      </c>
      <c r="N25" s="136">
        <v>6</v>
      </c>
      <c r="O25" s="339" t="s">
        <v>26</v>
      </c>
      <c r="P25" s="3"/>
    </row>
    <row r="26" spans="1:16" ht="19.5" customHeight="1" thickBot="1" x14ac:dyDescent="0.25">
      <c r="A26" s="5"/>
      <c r="B26" s="137">
        <f t="shared" si="2"/>
        <v>2026</v>
      </c>
      <c r="C26" s="137">
        <f>C3</f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9"/>
      <c r="P26" s="3"/>
    </row>
    <row r="27" spans="1:16" ht="19.5" customHeight="1" thickBot="1" x14ac:dyDescent="0.25">
      <c r="A27" s="5"/>
      <c r="B27" s="137">
        <f t="shared" si="2"/>
        <v>2026</v>
      </c>
      <c r="C27" s="137">
        <f>C3</f>
        <v>1</v>
      </c>
      <c r="D27" s="138">
        <v>501</v>
      </c>
      <c r="E27" s="145">
        <v>46099</v>
      </c>
      <c r="F27" s="282">
        <v>21.3</v>
      </c>
      <c r="G27" s="146">
        <v>39</v>
      </c>
      <c r="H27" s="141">
        <v>1</v>
      </c>
      <c r="I27" s="138" t="s">
        <v>28</v>
      </c>
      <c r="J27" s="140">
        <v>12</v>
      </c>
      <c r="K27" s="140" t="s">
        <v>45</v>
      </c>
      <c r="L27" s="142">
        <v>7</v>
      </c>
      <c r="M27" s="143">
        <v>11</v>
      </c>
      <c r="N27" s="144"/>
      <c r="O27" s="339"/>
      <c r="P27" s="3"/>
    </row>
    <row r="28" spans="1:16" ht="19.5" customHeight="1" thickBot="1" x14ac:dyDescent="0.25">
      <c r="A28" s="5"/>
      <c r="B28" s="137">
        <f t="shared" si="2"/>
        <v>2026</v>
      </c>
      <c r="C28" s="137">
        <f>C3</f>
        <v>1</v>
      </c>
      <c r="D28" s="138">
        <v>504</v>
      </c>
      <c r="E28" s="139">
        <v>46099</v>
      </c>
      <c r="F28" s="281">
        <v>17.100000000000001</v>
      </c>
      <c r="G28" s="140">
        <v>47</v>
      </c>
      <c r="H28" s="141">
        <v>3</v>
      </c>
      <c r="I28" s="138" t="s">
        <v>28</v>
      </c>
      <c r="J28" s="140">
        <v>512</v>
      </c>
      <c r="K28" s="140" t="s">
        <v>29</v>
      </c>
      <c r="L28" s="142">
        <v>6</v>
      </c>
      <c r="M28" s="143">
        <v>17</v>
      </c>
      <c r="N28" s="144"/>
      <c r="O28" s="339"/>
      <c r="P28" s="3"/>
    </row>
    <row r="29" spans="1:16" ht="19.5" customHeight="1" thickBot="1" x14ac:dyDescent="0.25">
      <c r="A29" s="5"/>
      <c r="B29" s="137">
        <f t="shared" si="2"/>
        <v>2026</v>
      </c>
      <c r="C29" s="137">
        <f>C3</f>
        <v>1</v>
      </c>
      <c r="D29" s="138">
        <v>519</v>
      </c>
      <c r="E29" s="139">
        <v>46099</v>
      </c>
      <c r="F29" s="281">
        <v>13.5</v>
      </c>
      <c r="G29" s="140">
        <v>52</v>
      </c>
      <c r="H29" s="141">
        <v>2</v>
      </c>
      <c r="I29" s="138" t="s">
        <v>28</v>
      </c>
      <c r="J29" s="140">
        <v>75</v>
      </c>
      <c r="K29" s="140" t="s">
        <v>45</v>
      </c>
      <c r="L29" s="142">
        <v>6</v>
      </c>
      <c r="M29" s="143">
        <v>21</v>
      </c>
      <c r="N29" s="144"/>
      <c r="O29" s="339"/>
      <c r="P29" s="3"/>
    </row>
    <row r="30" spans="1:16" ht="19.5" customHeight="1" thickBot="1" x14ac:dyDescent="0.25">
      <c r="A30" s="5"/>
      <c r="B30" s="137">
        <f t="shared" si="2"/>
        <v>2026</v>
      </c>
      <c r="C30" s="137">
        <f>C3</f>
        <v>1</v>
      </c>
      <c r="D30" s="138">
        <v>602</v>
      </c>
      <c r="E30" s="145">
        <v>46099</v>
      </c>
      <c r="F30" s="282">
        <v>20.3</v>
      </c>
      <c r="G30" s="146">
        <v>32</v>
      </c>
      <c r="H30" s="141">
        <v>3</v>
      </c>
      <c r="I30" s="138" t="s">
        <v>28</v>
      </c>
      <c r="J30" s="140">
        <v>587</v>
      </c>
      <c r="K30" s="140" t="s">
        <v>29</v>
      </c>
      <c r="L30" s="142">
        <v>7</v>
      </c>
      <c r="M30" s="143">
        <v>19</v>
      </c>
      <c r="N30" s="144">
        <v>11.266666666666699</v>
      </c>
      <c r="O30" s="339"/>
      <c r="P30" s="3"/>
    </row>
    <row r="31" spans="1:16" ht="19.5" customHeight="1" thickBot="1" x14ac:dyDescent="0.25">
      <c r="A31" s="5"/>
      <c r="B31" s="137">
        <f t="shared" si="2"/>
        <v>2026</v>
      </c>
      <c r="C31" s="137">
        <f>C3</f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9"/>
      <c r="P31" s="3"/>
    </row>
    <row r="32" spans="1:16" ht="19.5" customHeight="1" thickBot="1" x14ac:dyDescent="0.25">
      <c r="A32" s="5"/>
      <c r="B32" s="137">
        <f t="shared" si="2"/>
        <v>2026</v>
      </c>
      <c r="C32" s="137">
        <f>C3</f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9"/>
      <c r="P32" s="3"/>
    </row>
    <row r="33" spans="1:16" ht="19.5" customHeight="1" thickBot="1" x14ac:dyDescent="0.25">
      <c r="A33" s="5"/>
      <c r="B33" s="147">
        <f t="shared" si="2"/>
        <v>2026</v>
      </c>
      <c r="C33" s="148">
        <f>C3</f>
        <v>1</v>
      </c>
      <c r="D33" s="149">
        <v>610</v>
      </c>
      <c r="E33" s="150">
        <v>46099</v>
      </c>
      <c r="F33" s="283">
        <v>19.600000000000001</v>
      </c>
      <c r="G33" s="151">
        <v>41</v>
      </c>
      <c r="H33" s="152">
        <v>1</v>
      </c>
      <c r="I33" s="149" t="s">
        <v>30</v>
      </c>
      <c r="J33" s="153"/>
      <c r="K33" s="153" t="s">
        <v>45</v>
      </c>
      <c r="L33" s="154"/>
      <c r="M33" s="155"/>
      <c r="N33" s="156"/>
      <c r="O33" s="339"/>
      <c r="P33" s="3"/>
    </row>
    <row r="34" spans="1:16" ht="19.5" customHeight="1" thickBot="1" x14ac:dyDescent="0.25">
      <c r="A34" s="5"/>
      <c r="B34" s="257">
        <f t="shared" si="2"/>
        <v>2026</v>
      </c>
      <c r="C34" s="157">
        <f>C3</f>
        <v>1</v>
      </c>
      <c r="D34" s="158">
        <v>508</v>
      </c>
      <c r="E34" s="159">
        <v>46099</v>
      </c>
      <c r="F34" s="284">
        <v>12.4</v>
      </c>
      <c r="G34" s="160">
        <v>58</v>
      </c>
      <c r="H34" s="161">
        <v>1</v>
      </c>
      <c r="I34" s="162" t="s">
        <v>28</v>
      </c>
      <c r="J34" s="162">
        <v>5</v>
      </c>
      <c r="K34" s="162" t="s">
        <v>45</v>
      </c>
      <c r="L34" s="163">
        <v>9</v>
      </c>
      <c r="M34" s="164">
        <v>13</v>
      </c>
      <c r="N34" s="165"/>
      <c r="O34" s="340" t="s">
        <v>6</v>
      </c>
      <c r="P34" s="3"/>
    </row>
    <row r="35" spans="1:16" ht="19.5" customHeight="1" thickBot="1" x14ac:dyDescent="0.25">
      <c r="A35" s="5"/>
      <c r="B35" s="258">
        <f t="shared" si="2"/>
        <v>2026</v>
      </c>
      <c r="C35" s="157">
        <f>C3</f>
        <v>1</v>
      </c>
      <c r="D35" s="166">
        <v>513</v>
      </c>
      <c r="E35" s="167">
        <v>46099</v>
      </c>
      <c r="F35" s="285">
        <v>9</v>
      </c>
      <c r="G35" s="168">
        <v>75</v>
      </c>
      <c r="H35" s="169">
        <v>1</v>
      </c>
      <c r="I35" s="170" t="s">
        <v>30</v>
      </c>
      <c r="J35" s="170"/>
      <c r="K35" s="170" t="s">
        <v>45</v>
      </c>
      <c r="L35" s="171"/>
      <c r="M35" s="172"/>
      <c r="N35" s="173"/>
      <c r="O35" s="340"/>
      <c r="P35" s="3"/>
    </row>
    <row r="36" spans="1:16" ht="19.5" customHeight="1" thickBot="1" x14ac:dyDescent="0.25">
      <c r="A36" s="5"/>
      <c r="B36" s="258">
        <f t="shared" si="2"/>
        <v>2026</v>
      </c>
      <c r="C36" s="157">
        <f>C3</f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0"/>
      <c r="P36" s="3"/>
    </row>
    <row r="37" spans="1:16" ht="19.5" customHeight="1" thickBot="1" x14ac:dyDescent="0.25">
      <c r="A37" s="5"/>
      <c r="B37" s="258">
        <f t="shared" si="2"/>
        <v>2026</v>
      </c>
      <c r="C37" s="157">
        <f>C3</f>
        <v>1</v>
      </c>
      <c r="D37" s="166">
        <v>801</v>
      </c>
      <c r="E37" s="167">
        <v>46097</v>
      </c>
      <c r="F37" s="285">
        <v>4.8</v>
      </c>
      <c r="G37" s="168">
        <v>62</v>
      </c>
      <c r="H37" s="169">
        <v>3</v>
      </c>
      <c r="I37" s="170" t="s">
        <v>28</v>
      </c>
      <c r="J37" s="170">
        <v>9</v>
      </c>
      <c r="K37" s="170" t="s">
        <v>29</v>
      </c>
      <c r="L37" s="171">
        <v>7</v>
      </c>
      <c r="M37" s="172">
        <v>20</v>
      </c>
      <c r="N37" s="173">
        <v>9.8888888888888893</v>
      </c>
      <c r="O37" s="340"/>
      <c r="P37" s="3"/>
    </row>
    <row r="38" spans="1:16" ht="19.5" customHeight="1" thickBot="1" x14ac:dyDescent="0.25">
      <c r="A38" s="5"/>
      <c r="B38" s="259">
        <f t="shared" si="2"/>
        <v>2026</v>
      </c>
      <c r="C38" s="174">
        <f>C3</f>
        <v>1</v>
      </c>
      <c r="D38" s="175">
        <v>804</v>
      </c>
      <c r="E38" s="176">
        <v>46098</v>
      </c>
      <c r="F38" s="286">
        <v>11.2</v>
      </c>
      <c r="G38" s="177">
        <v>68</v>
      </c>
      <c r="H38" s="178">
        <v>3</v>
      </c>
      <c r="I38" s="179" t="s">
        <v>28</v>
      </c>
      <c r="J38" s="179">
        <v>28</v>
      </c>
      <c r="K38" s="179" t="s">
        <v>29</v>
      </c>
      <c r="L38" s="180">
        <v>6</v>
      </c>
      <c r="M38" s="181">
        <v>13</v>
      </c>
      <c r="N38" s="182">
        <v>9.8076923076923102</v>
      </c>
      <c r="O38" s="340"/>
      <c r="P38" s="3"/>
    </row>
    <row r="39" spans="1:16" ht="19.5" customHeight="1" x14ac:dyDescent="0.2">
      <c r="A39" s="5"/>
      <c r="B39" s="256">
        <f t="shared" si="2"/>
        <v>2026</v>
      </c>
      <c r="C39" s="183">
        <f>C3</f>
        <v>1</v>
      </c>
      <c r="D39" s="184">
        <v>703</v>
      </c>
      <c r="E39" s="185">
        <v>46097</v>
      </c>
      <c r="F39" s="287">
        <v>7.3</v>
      </c>
      <c r="G39" s="186">
        <v>69</v>
      </c>
      <c r="H39" s="187">
        <v>3</v>
      </c>
      <c r="I39" s="188" t="s">
        <v>28</v>
      </c>
      <c r="J39" s="189">
        <v>4</v>
      </c>
      <c r="K39" s="189" t="s">
        <v>29</v>
      </c>
      <c r="L39" s="190">
        <v>7</v>
      </c>
      <c r="M39" s="191">
        <v>15</v>
      </c>
      <c r="N39" s="192">
        <v>10.25</v>
      </c>
      <c r="O39" s="341" t="s">
        <v>7</v>
      </c>
      <c r="P39" s="3"/>
    </row>
    <row r="40" spans="1:16" ht="19.5" customHeight="1" x14ac:dyDescent="0.2">
      <c r="A40" s="5"/>
      <c r="B40" s="254">
        <f t="shared" si="2"/>
        <v>2026</v>
      </c>
      <c r="C40" s="193">
        <f>C3</f>
        <v>1</v>
      </c>
      <c r="D40" s="194">
        <v>704</v>
      </c>
      <c r="E40" s="195">
        <v>46097</v>
      </c>
      <c r="F40" s="288">
        <v>5.8</v>
      </c>
      <c r="G40" s="196">
        <v>87</v>
      </c>
      <c r="H40" s="188">
        <v>3</v>
      </c>
      <c r="I40" s="188" t="s">
        <v>28</v>
      </c>
      <c r="J40" s="197">
        <v>2</v>
      </c>
      <c r="K40" s="197" t="s">
        <v>29</v>
      </c>
      <c r="L40" s="198">
        <v>6</v>
      </c>
      <c r="M40" s="199">
        <v>6</v>
      </c>
      <c r="N40" s="200">
        <v>6</v>
      </c>
      <c r="O40" s="342"/>
      <c r="P40" s="3"/>
    </row>
    <row r="41" spans="1:16" ht="19.5" customHeight="1" x14ac:dyDescent="0.2">
      <c r="A41" s="5"/>
      <c r="B41" s="254">
        <f t="shared" si="2"/>
        <v>2026</v>
      </c>
      <c r="C41" s="193">
        <f>C3</f>
        <v>1</v>
      </c>
      <c r="D41" s="194">
        <v>705</v>
      </c>
      <c r="E41" s="195">
        <v>46097</v>
      </c>
      <c r="F41" s="288">
        <v>3.8</v>
      </c>
      <c r="G41" s="196">
        <v>123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2"/>
      <c r="P41" s="3"/>
    </row>
    <row r="42" spans="1:16" ht="19.5" customHeight="1" x14ac:dyDescent="0.2">
      <c r="A42" s="5"/>
      <c r="B42" s="254">
        <f t="shared" si="2"/>
        <v>2026</v>
      </c>
      <c r="C42" s="193">
        <f>C3</f>
        <v>1</v>
      </c>
      <c r="D42" s="194">
        <v>706</v>
      </c>
      <c r="E42" s="195">
        <v>46097</v>
      </c>
      <c r="F42" s="288">
        <v>8.5</v>
      </c>
      <c r="G42" s="196">
        <v>88</v>
      </c>
      <c r="H42" s="188">
        <v>3</v>
      </c>
      <c r="I42" s="188" t="s">
        <v>28</v>
      </c>
      <c r="J42" s="197">
        <v>14</v>
      </c>
      <c r="K42" s="197" t="s">
        <v>29</v>
      </c>
      <c r="L42" s="198">
        <v>6</v>
      </c>
      <c r="M42" s="199">
        <v>11</v>
      </c>
      <c r="N42" s="200">
        <v>6.8</v>
      </c>
      <c r="O42" s="342"/>
      <c r="P42" s="3"/>
    </row>
    <row r="43" spans="1:16" ht="19.5" customHeight="1" x14ac:dyDescent="0.2">
      <c r="A43" s="5"/>
      <c r="B43" s="254">
        <f t="shared" si="2"/>
        <v>2026</v>
      </c>
      <c r="C43" s="193">
        <f>C3</f>
        <v>1</v>
      </c>
      <c r="D43" s="194">
        <v>707</v>
      </c>
      <c r="E43" s="195">
        <v>46097</v>
      </c>
      <c r="F43" s="288">
        <v>5.2</v>
      </c>
      <c r="G43" s="196">
        <v>83</v>
      </c>
      <c r="H43" s="188">
        <v>3</v>
      </c>
      <c r="I43" s="188" t="s">
        <v>28</v>
      </c>
      <c r="J43" s="197">
        <v>12</v>
      </c>
      <c r="K43" s="197" t="s">
        <v>29</v>
      </c>
      <c r="L43" s="198">
        <v>6</v>
      </c>
      <c r="M43" s="199">
        <v>6</v>
      </c>
      <c r="N43" s="200">
        <v>6</v>
      </c>
      <c r="O43" s="342"/>
      <c r="P43" s="3"/>
    </row>
    <row r="44" spans="1:16" ht="19.5" customHeight="1" x14ac:dyDescent="0.2">
      <c r="A44" s="5"/>
      <c r="B44" s="254">
        <f t="shared" si="2"/>
        <v>2026</v>
      </c>
      <c r="C44" s="193">
        <f>C3</f>
        <v>1</v>
      </c>
      <c r="D44" s="194">
        <v>711</v>
      </c>
      <c r="E44" s="195">
        <v>46097</v>
      </c>
      <c r="F44" s="288">
        <v>4.8</v>
      </c>
      <c r="G44" s="196">
        <v>95</v>
      </c>
      <c r="H44" s="188">
        <v>3</v>
      </c>
      <c r="I44" s="188" t="s">
        <v>30</v>
      </c>
      <c r="J44" s="197"/>
      <c r="K44" s="197" t="s">
        <v>29</v>
      </c>
      <c r="L44" s="198"/>
      <c r="M44" s="199"/>
      <c r="N44" s="200"/>
      <c r="O44" s="342"/>
      <c r="P44" s="3"/>
    </row>
    <row r="45" spans="1:16" ht="19.5" customHeight="1" x14ac:dyDescent="0.2">
      <c r="A45" s="5"/>
      <c r="B45" s="201">
        <f t="shared" si="2"/>
        <v>2026</v>
      </c>
      <c r="C45" s="201">
        <f>C3</f>
        <v>1</v>
      </c>
      <c r="D45" s="202">
        <v>716</v>
      </c>
      <c r="E45" s="203">
        <v>46098</v>
      </c>
      <c r="F45" s="289">
        <v>7.4</v>
      </c>
      <c r="G45" s="204">
        <v>73</v>
      </c>
      <c r="H45" s="205">
        <v>3</v>
      </c>
      <c r="I45" s="206" t="s">
        <v>30</v>
      </c>
      <c r="J45" s="204"/>
      <c r="K45" s="204" t="s">
        <v>29</v>
      </c>
      <c r="L45" s="207"/>
      <c r="M45" s="208"/>
      <c r="N45" s="209"/>
      <c r="O45" s="342"/>
      <c r="P45" s="3"/>
    </row>
    <row r="46" spans="1:16" ht="19.5" customHeight="1" x14ac:dyDescent="0.2">
      <c r="A46" s="5"/>
      <c r="B46" s="254">
        <f t="shared" si="2"/>
        <v>2026</v>
      </c>
      <c r="C46" s="193">
        <f>C3</f>
        <v>1</v>
      </c>
      <c r="D46" s="194">
        <v>718</v>
      </c>
      <c r="E46" s="195">
        <v>46098</v>
      </c>
      <c r="F46" s="288">
        <v>4.0999999999999996</v>
      </c>
      <c r="G46" s="196">
        <v>107</v>
      </c>
      <c r="H46" s="188">
        <v>3</v>
      </c>
      <c r="I46" s="188" t="s">
        <v>30</v>
      </c>
      <c r="J46" s="196"/>
      <c r="K46" s="197" t="s">
        <v>29</v>
      </c>
      <c r="L46" s="210"/>
      <c r="M46" s="211"/>
      <c r="N46" s="212"/>
      <c r="O46" s="342"/>
      <c r="P46" s="3"/>
    </row>
    <row r="47" spans="1:16" ht="19.5" customHeight="1" x14ac:dyDescent="0.2">
      <c r="A47" s="5"/>
      <c r="B47" s="254">
        <f t="shared" si="2"/>
        <v>2026</v>
      </c>
      <c r="C47" s="193">
        <f>C3</f>
        <v>1</v>
      </c>
      <c r="D47" s="194">
        <v>719</v>
      </c>
      <c r="E47" s="195">
        <v>46098</v>
      </c>
      <c r="F47" s="288">
        <v>14.6</v>
      </c>
      <c r="G47" s="196">
        <v>37</v>
      </c>
      <c r="H47" s="188">
        <v>3</v>
      </c>
      <c r="I47" s="188" t="s">
        <v>30</v>
      </c>
      <c r="J47" s="197"/>
      <c r="K47" s="197" t="s">
        <v>29</v>
      </c>
      <c r="L47" s="198"/>
      <c r="M47" s="199"/>
      <c r="N47" s="200"/>
      <c r="O47" s="342"/>
      <c r="P47" s="3"/>
    </row>
    <row r="48" spans="1:16" ht="19.5" customHeight="1" x14ac:dyDescent="0.2">
      <c r="A48" s="5"/>
      <c r="B48" s="254">
        <f t="shared" si="2"/>
        <v>2026</v>
      </c>
      <c r="C48" s="193">
        <f>C3</f>
        <v>1</v>
      </c>
      <c r="D48" s="194" t="s">
        <v>46</v>
      </c>
      <c r="E48" s="195">
        <v>46098</v>
      </c>
      <c r="F48" s="288">
        <v>7.4</v>
      </c>
      <c r="G48" s="196">
        <v>74</v>
      </c>
      <c r="H48" s="188">
        <v>3</v>
      </c>
      <c r="I48" s="188" t="s">
        <v>30</v>
      </c>
      <c r="J48" s="197"/>
      <c r="K48" s="197" t="s">
        <v>29</v>
      </c>
      <c r="L48" s="198"/>
      <c r="M48" s="199"/>
      <c r="N48" s="200"/>
      <c r="O48" s="342"/>
      <c r="P48" s="3"/>
    </row>
    <row r="49" spans="1:16" ht="19.5" customHeight="1" x14ac:dyDescent="0.2">
      <c r="A49" s="5"/>
      <c r="B49" s="254">
        <f t="shared" si="2"/>
        <v>2026</v>
      </c>
      <c r="C49" s="193">
        <f>C3</f>
        <v>1</v>
      </c>
      <c r="D49" s="194">
        <v>723</v>
      </c>
      <c r="E49" s="195">
        <v>46098</v>
      </c>
      <c r="F49" s="288">
        <v>5.8</v>
      </c>
      <c r="G49" s="196">
        <v>62</v>
      </c>
      <c r="H49" s="188">
        <v>3</v>
      </c>
      <c r="I49" s="188" t="s">
        <v>30</v>
      </c>
      <c r="J49" s="196"/>
      <c r="K49" s="197" t="s">
        <v>29</v>
      </c>
      <c r="L49" s="210"/>
      <c r="M49" s="211"/>
      <c r="N49" s="212"/>
      <c r="O49" s="342"/>
      <c r="P49" s="3"/>
    </row>
    <row r="50" spans="1:16" ht="19.5" customHeight="1" x14ac:dyDescent="0.2">
      <c r="A50" s="5"/>
      <c r="B50" s="254">
        <f t="shared" si="2"/>
        <v>2026</v>
      </c>
      <c r="C50" s="193">
        <f>C3</f>
        <v>1</v>
      </c>
      <c r="D50" s="194">
        <v>724</v>
      </c>
      <c r="E50" s="195">
        <v>46098</v>
      </c>
      <c r="F50" s="288">
        <v>6.2</v>
      </c>
      <c r="G50" s="196">
        <v>73</v>
      </c>
      <c r="H50" s="188">
        <v>3</v>
      </c>
      <c r="I50" s="188" t="s">
        <v>30</v>
      </c>
      <c r="J50" s="197"/>
      <c r="K50" s="197" t="s">
        <v>29</v>
      </c>
      <c r="L50" s="198"/>
      <c r="M50" s="199"/>
      <c r="N50" s="200"/>
      <c r="O50" s="342"/>
      <c r="P50" s="3"/>
    </row>
    <row r="51" spans="1:16" ht="19.5" customHeight="1" thickBot="1" x14ac:dyDescent="0.25">
      <c r="A51" s="5"/>
      <c r="B51" s="255">
        <f t="shared" si="2"/>
        <v>2026</v>
      </c>
      <c r="C51" s="251">
        <f>C3</f>
        <v>1</v>
      </c>
      <c r="D51" s="213">
        <v>726</v>
      </c>
      <c r="E51" s="214">
        <v>46098</v>
      </c>
      <c r="F51" s="290">
        <v>5.3</v>
      </c>
      <c r="G51" s="215">
        <v>89</v>
      </c>
      <c r="H51" s="216">
        <v>3</v>
      </c>
      <c r="I51" s="188" t="s">
        <v>30</v>
      </c>
      <c r="J51" s="217"/>
      <c r="K51" s="217" t="s">
        <v>29</v>
      </c>
      <c r="L51" s="218"/>
      <c r="M51" s="219"/>
      <c r="N51" s="220"/>
      <c r="O51" s="343"/>
      <c r="P51" s="3"/>
    </row>
    <row r="52" spans="1:16" ht="19.5" customHeight="1" thickBot="1" x14ac:dyDescent="0.25">
      <c r="A52" s="5"/>
      <c r="B52" s="252">
        <f t="shared" si="2"/>
        <v>2026</v>
      </c>
      <c r="C52" s="28">
        <f>C3</f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28</v>
      </c>
      <c r="J52" s="30">
        <v>2</v>
      </c>
      <c r="K52" s="30" t="s">
        <v>29</v>
      </c>
      <c r="L52" s="31">
        <v>6</v>
      </c>
      <c r="M52" s="32">
        <v>6</v>
      </c>
      <c r="N52" s="33">
        <v>6</v>
      </c>
      <c r="O52" s="335" t="s">
        <v>8</v>
      </c>
      <c r="P52" s="3"/>
    </row>
    <row r="53" spans="1:16" ht="19.5" customHeight="1" thickBot="1" x14ac:dyDescent="0.25">
      <c r="A53" s="5"/>
      <c r="B53" s="250">
        <f t="shared" si="2"/>
        <v>2026</v>
      </c>
      <c r="C53" s="36">
        <f>C3</f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5"/>
      <c r="P53" s="3"/>
    </row>
    <row r="54" spans="1:16" ht="19.5" customHeight="1" thickBot="1" x14ac:dyDescent="0.25">
      <c r="A54" s="5"/>
      <c r="B54" s="249">
        <f t="shared" si="2"/>
        <v>2026</v>
      </c>
      <c r="C54" s="44">
        <f>C3</f>
        <v>1</v>
      </c>
      <c r="D54" s="58">
        <v>815</v>
      </c>
      <c r="E54" s="42">
        <v>46097</v>
      </c>
      <c r="F54" s="293">
        <v>5</v>
      </c>
      <c r="G54" s="43">
        <v>127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5"/>
      <c r="P54" s="3"/>
    </row>
    <row r="55" spans="1:16" ht="19.5" customHeight="1" thickBot="1" x14ac:dyDescent="0.3">
      <c r="A55" s="5"/>
      <c r="B55" s="249">
        <f t="shared" si="2"/>
        <v>2026</v>
      </c>
      <c r="C55" s="44">
        <f>C3</f>
        <v>1</v>
      </c>
      <c r="D55" s="58" t="s">
        <v>44</v>
      </c>
      <c r="E55" s="50">
        <v>46098</v>
      </c>
      <c r="F55" s="294">
        <v>8.1</v>
      </c>
      <c r="G55" s="43">
        <v>88</v>
      </c>
      <c r="H55" s="44">
        <v>2</v>
      </c>
      <c r="I55" s="45" t="s">
        <v>30</v>
      </c>
      <c r="J55" s="46"/>
      <c r="K55" s="46" t="s">
        <v>29</v>
      </c>
      <c r="L55" s="47"/>
      <c r="M55" s="48"/>
      <c r="N55" s="49"/>
      <c r="O55" s="335"/>
      <c r="P55" s="3"/>
    </row>
    <row r="56" spans="1:16" ht="19.5" customHeight="1" thickBot="1" x14ac:dyDescent="0.3">
      <c r="A56" s="5"/>
      <c r="B56" s="249">
        <f t="shared" si="2"/>
        <v>2026</v>
      </c>
      <c r="C56" s="44">
        <f>C3</f>
        <v>1</v>
      </c>
      <c r="D56" s="58" t="s">
        <v>47</v>
      </c>
      <c r="E56" s="50">
        <v>46098</v>
      </c>
      <c r="F56" s="294">
        <v>3.2</v>
      </c>
      <c r="G56" s="43">
        <v>156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5"/>
      <c r="P56" s="3"/>
    </row>
    <row r="57" spans="1:16" ht="19.5" customHeight="1" thickBot="1" x14ac:dyDescent="0.25">
      <c r="A57" s="5"/>
      <c r="B57" s="249">
        <f t="shared" si="2"/>
        <v>2026</v>
      </c>
      <c r="C57" s="44">
        <f>C3</f>
        <v>1</v>
      </c>
      <c r="D57" s="58">
        <v>906</v>
      </c>
      <c r="E57" s="50">
        <v>46097</v>
      </c>
      <c r="F57" s="294">
        <v>3.9</v>
      </c>
      <c r="G57" s="43">
        <v>149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5"/>
      <c r="P57" s="3"/>
    </row>
    <row r="58" spans="1:16" ht="19.5" customHeight="1" thickBot="1" x14ac:dyDescent="0.25">
      <c r="A58" s="5"/>
      <c r="B58" s="249">
        <f t="shared" si="2"/>
        <v>2026</v>
      </c>
      <c r="C58" s="44">
        <f>C3</f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5"/>
      <c r="P58" s="3"/>
    </row>
    <row r="59" spans="1:16" ht="19.5" customHeight="1" thickBot="1" x14ac:dyDescent="0.25">
      <c r="A59" s="7"/>
      <c r="B59" s="249">
        <f t="shared" si="2"/>
        <v>2026</v>
      </c>
      <c r="C59" s="44">
        <f>C3</f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5"/>
      <c r="P59" s="3"/>
    </row>
    <row r="60" spans="1:16" ht="19.5" customHeight="1" thickBot="1" x14ac:dyDescent="0.25">
      <c r="A60" s="12"/>
      <c r="B60" s="249">
        <f t="shared" si="2"/>
        <v>2026</v>
      </c>
      <c r="C60" s="44">
        <f>C3</f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5"/>
      <c r="P60" s="3"/>
    </row>
    <row r="61" spans="1:16" ht="19.5" customHeight="1" thickBot="1" x14ac:dyDescent="0.25">
      <c r="A61" s="11"/>
      <c r="B61" s="249">
        <f t="shared" si="2"/>
        <v>2026</v>
      </c>
      <c r="C61" s="44">
        <f>C3</f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5"/>
      <c r="P61" s="3"/>
    </row>
    <row r="62" spans="1:16" ht="19.5" customHeight="1" thickBot="1" x14ac:dyDescent="0.25">
      <c r="B62" s="260">
        <f t="shared" si="2"/>
        <v>2026</v>
      </c>
      <c r="C62" s="261">
        <f>C3</f>
        <v>1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5"/>
      <c r="P62" s="3"/>
    </row>
    <row r="63" spans="1:16" ht="19.5" customHeight="1" thickBot="1" x14ac:dyDescent="0.25">
      <c r="A63" s="14"/>
      <c r="B63" s="253">
        <f t="shared" si="2"/>
        <v>2026</v>
      </c>
      <c r="C63" s="53">
        <f>C3</f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5"/>
      <c r="P63" s="6"/>
    </row>
    <row r="64" spans="1:16" ht="19.5" customHeight="1" x14ac:dyDescent="0.25">
      <c r="A64" s="14"/>
      <c r="B64" s="221" t="s">
        <v>55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5">
      <c r="A65" s="14"/>
      <c r="B65" s="221" t="s">
        <v>56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5">
      <c r="A66" s="14"/>
      <c r="B66" s="221" t="s">
        <v>57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58</v>
      </c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106</v>
      </c>
      <c r="P72" s="14"/>
    </row>
    <row r="73" spans="1:16" ht="15" customHeight="1" x14ac:dyDescent="0.2">
      <c r="I73" s="10" t="s">
        <v>15</v>
      </c>
      <c r="J73" s="13">
        <f>J72/J71</f>
        <v>0.59217877094972071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2899</v>
      </c>
      <c r="K76" s="248"/>
      <c r="N76" s="18"/>
    </row>
    <row r="77" spans="1:16" x14ac:dyDescent="0.2">
      <c r="I77" s="248" t="s">
        <v>21</v>
      </c>
      <c r="J77" s="18">
        <f>SUM(J22:J24)</f>
        <v>0</v>
      </c>
      <c r="K77" s="248"/>
      <c r="N77" s="18"/>
    </row>
    <row r="78" spans="1:16" x14ac:dyDescent="0.2">
      <c r="I78" s="248" t="s">
        <v>22</v>
      </c>
      <c r="J78" s="18">
        <f>SUM(J25:J33)</f>
        <v>1187</v>
      </c>
      <c r="K78" s="248"/>
      <c r="N78" s="18"/>
    </row>
    <row r="79" spans="1:16" x14ac:dyDescent="0.2">
      <c r="I79" s="248" t="s">
        <v>6</v>
      </c>
      <c r="J79" s="18">
        <f>SUM(J34:J38)</f>
        <v>42</v>
      </c>
      <c r="K79" s="248"/>
      <c r="N79" s="18"/>
    </row>
    <row r="80" spans="1:16" x14ac:dyDescent="0.2">
      <c r="I80" s="248" t="s">
        <v>23</v>
      </c>
      <c r="J80" s="18">
        <f>SUM(J39:J51)</f>
        <v>32</v>
      </c>
      <c r="K80" s="248"/>
      <c r="N80" s="18"/>
    </row>
    <row r="81" spans="9:14" x14ac:dyDescent="0.2">
      <c r="I81" s="248" t="s">
        <v>27</v>
      </c>
      <c r="J81" s="18">
        <f>SUM(J52:J53)</f>
        <v>2</v>
      </c>
      <c r="K81" s="248"/>
      <c r="N81" s="18"/>
    </row>
    <row r="82" spans="9:14" x14ac:dyDescent="0.2">
      <c r="I82" s="248" t="s">
        <v>24</v>
      </c>
      <c r="J82" s="18">
        <f>SUM(J54:J63)</f>
        <v>0</v>
      </c>
      <c r="K82" s="248"/>
      <c r="N82" s="18"/>
    </row>
    <row r="83" spans="9:14" x14ac:dyDescent="0.2">
      <c r="J83" s="18">
        <f>SUM(J75:J82)</f>
        <v>4162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A854E88B-1366-4FB4-8671-543DF98160DC}">
      <formula1>"Not Processed, No Smelt Catch, Not Sampled, Longfin Smelt, Delta Smelt"</formula1>
    </dataValidation>
    <dataValidation type="list" allowBlank="1" showInputMessage="1" showErrorMessage="1" sqref="K3:K63" xr:uid="{10FFD2EB-6B09-4AA4-B538-45551A4BC1BE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46" workbookViewId="0">
      <selection activeCell="B3" sqref="B3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1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04"/>
      <c r="P2" s="305"/>
    </row>
    <row r="3" spans="1:16" ht="19.5" customHeight="1" thickBot="1" x14ac:dyDescent="0.25">
      <c r="A3" s="307"/>
      <c r="B3" s="61">
        <v>2026</v>
      </c>
      <c r="C3" s="61">
        <v>2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6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2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6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2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6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2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6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2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6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2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6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2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6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2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6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2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6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2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6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2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6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2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6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2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6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2</v>
      </c>
      <c r="D16" s="81">
        <v>340</v>
      </c>
      <c r="E16" s="83">
        <v>46111</v>
      </c>
      <c r="F16" s="275">
        <v>12.3</v>
      </c>
      <c r="G16" s="84">
        <v>52</v>
      </c>
      <c r="H16" s="81">
        <v>2</v>
      </c>
      <c r="I16" s="81" t="s">
        <v>30</v>
      </c>
      <c r="J16" s="85"/>
      <c r="K16" s="85" t="s">
        <v>45</v>
      </c>
      <c r="L16" s="86"/>
      <c r="M16" s="87"/>
      <c r="N16" s="88"/>
      <c r="O16" s="337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2</v>
      </c>
      <c r="D17" s="90">
        <v>342</v>
      </c>
      <c r="E17" s="91">
        <v>46114</v>
      </c>
      <c r="F17" s="276">
        <v>30.2</v>
      </c>
      <c r="G17" s="92">
        <v>31</v>
      </c>
      <c r="H17" s="90">
        <v>1</v>
      </c>
      <c r="I17" s="90" t="s">
        <v>28</v>
      </c>
      <c r="J17" s="93">
        <v>3</v>
      </c>
      <c r="K17" s="93" t="s">
        <v>45</v>
      </c>
      <c r="L17" s="94">
        <v>12</v>
      </c>
      <c r="M17" s="95">
        <v>21</v>
      </c>
      <c r="N17" s="96"/>
      <c r="O17" s="337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2</v>
      </c>
      <c r="D18" s="90">
        <v>343</v>
      </c>
      <c r="E18" s="91">
        <v>46114</v>
      </c>
      <c r="F18" s="276">
        <v>23</v>
      </c>
      <c r="G18" s="92">
        <v>34</v>
      </c>
      <c r="H18" s="90">
        <v>1</v>
      </c>
      <c r="I18" s="90" t="s">
        <v>28</v>
      </c>
      <c r="J18" s="93">
        <v>1</v>
      </c>
      <c r="K18" s="93" t="s">
        <v>45</v>
      </c>
      <c r="L18" s="94">
        <v>15</v>
      </c>
      <c r="M18" s="95">
        <v>15</v>
      </c>
      <c r="N18" s="96">
        <v>15</v>
      </c>
      <c r="O18" s="337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2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7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2</v>
      </c>
      <c r="D20" s="90">
        <v>345</v>
      </c>
      <c r="E20" s="91">
        <v>46114</v>
      </c>
      <c r="F20" s="276">
        <v>29.2</v>
      </c>
      <c r="G20" s="92">
        <v>32</v>
      </c>
      <c r="H20" s="90">
        <v>1</v>
      </c>
      <c r="I20" s="90" t="s">
        <v>28</v>
      </c>
      <c r="J20" s="93">
        <v>2</v>
      </c>
      <c r="K20" s="93" t="s">
        <v>45</v>
      </c>
      <c r="L20" s="94">
        <v>14</v>
      </c>
      <c r="M20" s="95">
        <v>17</v>
      </c>
      <c r="N20" s="96"/>
      <c r="O20" s="337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2</v>
      </c>
      <c r="D21" s="99">
        <v>346</v>
      </c>
      <c r="E21" s="100">
        <v>46114</v>
      </c>
      <c r="F21" s="277">
        <v>18.2</v>
      </c>
      <c r="G21" s="101">
        <v>32</v>
      </c>
      <c r="H21" s="99">
        <v>1</v>
      </c>
      <c r="I21" s="99" t="s">
        <v>28</v>
      </c>
      <c r="J21" s="102">
        <v>15</v>
      </c>
      <c r="K21" s="102" t="s">
        <v>45</v>
      </c>
      <c r="L21" s="103">
        <v>9</v>
      </c>
      <c r="M21" s="104">
        <v>29</v>
      </c>
      <c r="N21" s="105"/>
      <c r="O21" s="337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2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8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2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8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2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8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2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9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2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9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2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9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2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9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2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9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2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9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2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9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2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9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2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9"/>
      <c r="P33" s="3"/>
    </row>
    <row r="34" spans="1:16" ht="19.5" customHeight="1" thickBot="1" x14ac:dyDescent="0.25">
      <c r="A34" s="307"/>
      <c r="B34" s="308">
        <f t="shared" si="2"/>
        <v>2026</v>
      </c>
      <c r="C34" s="309">
        <f>C3</f>
        <v>2</v>
      </c>
      <c r="D34" s="310">
        <v>508</v>
      </c>
      <c r="E34" s="311"/>
      <c r="F34" s="312"/>
      <c r="G34" s="313"/>
      <c r="H34" s="314"/>
      <c r="I34" s="315" t="s">
        <v>31</v>
      </c>
      <c r="J34" s="315"/>
      <c r="K34" s="315"/>
      <c r="L34" s="316"/>
      <c r="M34" s="317"/>
      <c r="N34" s="318"/>
      <c r="O34" s="340" t="s">
        <v>6</v>
      </c>
      <c r="P34" s="3"/>
    </row>
    <row r="35" spans="1:16" ht="19.5" customHeight="1" thickBot="1" x14ac:dyDescent="0.25">
      <c r="A35" s="307"/>
      <c r="B35" s="260">
        <f t="shared" si="2"/>
        <v>2026</v>
      </c>
      <c r="C35" s="309">
        <f>C3</f>
        <v>2</v>
      </c>
      <c r="D35" s="262">
        <v>513</v>
      </c>
      <c r="E35" s="263"/>
      <c r="F35" s="295"/>
      <c r="G35" s="264"/>
      <c r="H35" s="261"/>
      <c r="I35" s="266" t="s">
        <v>31</v>
      </c>
      <c r="J35" s="266"/>
      <c r="K35" s="266"/>
      <c r="L35" s="267"/>
      <c r="M35" s="268"/>
      <c r="N35" s="269"/>
      <c r="O35" s="340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2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0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2</v>
      </c>
      <c r="D37" s="166">
        <v>801</v>
      </c>
      <c r="E37" s="167">
        <v>46113</v>
      </c>
      <c r="F37" s="285">
        <v>9.5</v>
      </c>
      <c r="G37" s="168">
        <v>46</v>
      </c>
      <c r="H37" s="169">
        <v>3</v>
      </c>
      <c r="I37" s="170" t="s">
        <v>28</v>
      </c>
      <c r="J37" s="170">
        <v>31</v>
      </c>
      <c r="K37" s="170" t="s">
        <v>29</v>
      </c>
      <c r="L37" s="171">
        <v>7</v>
      </c>
      <c r="M37" s="172">
        <v>15</v>
      </c>
      <c r="N37" s="173">
        <v>9.9285714285714306</v>
      </c>
      <c r="O37" s="340"/>
      <c r="P37" s="3"/>
    </row>
    <row r="38" spans="1:16" ht="19.5" customHeight="1" thickBot="1" x14ac:dyDescent="0.3">
      <c r="A38" s="307"/>
      <c r="B38" s="259">
        <f t="shared" si="2"/>
        <v>2026</v>
      </c>
      <c r="C38" s="174">
        <f>C3</f>
        <v>2</v>
      </c>
      <c r="D38" s="175" t="s">
        <v>48</v>
      </c>
      <c r="E38" s="176">
        <v>46113</v>
      </c>
      <c r="F38" s="286">
        <v>5.7</v>
      </c>
      <c r="G38" s="177">
        <v>99</v>
      </c>
      <c r="H38" s="178">
        <v>3</v>
      </c>
      <c r="I38" s="179" t="s">
        <v>28</v>
      </c>
      <c r="J38" s="179">
        <v>2</v>
      </c>
      <c r="K38" s="179" t="s">
        <v>29</v>
      </c>
      <c r="L38" s="180">
        <v>11</v>
      </c>
      <c r="M38" s="181">
        <v>14</v>
      </c>
      <c r="N38" s="182">
        <v>12.5</v>
      </c>
      <c r="O38" s="340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2</v>
      </c>
      <c r="D39" s="184">
        <v>703</v>
      </c>
      <c r="E39" s="185">
        <v>46113</v>
      </c>
      <c r="F39" s="287">
        <v>10</v>
      </c>
      <c r="G39" s="186">
        <v>47</v>
      </c>
      <c r="H39" s="187">
        <v>3</v>
      </c>
      <c r="I39" s="188" t="s">
        <v>28</v>
      </c>
      <c r="J39" s="189">
        <v>30</v>
      </c>
      <c r="K39" s="189" t="s">
        <v>29</v>
      </c>
      <c r="L39" s="190">
        <v>8</v>
      </c>
      <c r="M39" s="191">
        <v>14</v>
      </c>
      <c r="N39" s="192">
        <v>10.6071428571429</v>
      </c>
      <c r="O39" s="341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2</v>
      </c>
      <c r="D40" s="194">
        <v>704</v>
      </c>
      <c r="E40" s="195">
        <v>46113</v>
      </c>
      <c r="F40" s="288">
        <v>7.4</v>
      </c>
      <c r="G40" s="196">
        <v>58</v>
      </c>
      <c r="H40" s="188">
        <v>3</v>
      </c>
      <c r="I40" s="188" t="s">
        <v>28</v>
      </c>
      <c r="J40" s="197">
        <v>2</v>
      </c>
      <c r="K40" s="197" t="s">
        <v>29</v>
      </c>
      <c r="L40" s="198">
        <v>9</v>
      </c>
      <c r="M40" s="199">
        <v>12</v>
      </c>
      <c r="N40" s="200">
        <v>10.5</v>
      </c>
      <c r="O40" s="342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2</v>
      </c>
      <c r="D41" s="194">
        <v>705</v>
      </c>
      <c r="E41" s="195">
        <v>46113</v>
      </c>
      <c r="F41" s="288">
        <v>6.6</v>
      </c>
      <c r="G41" s="196">
        <v>73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2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2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2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2</v>
      </c>
      <c r="D43" s="194">
        <v>707</v>
      </c>
      <c r="E43" s="195">
        <v>46113</v>
      </c>
      <c r="F43" s="288">
        <v>8</v>
      </c>
      <c r="G43" s="196">
        <v>68</v>
      </c>
      <c r="H43" s="188">
        <v>3</v>
      </c>
      <c r="I43" s="188" t="s">
        <v>28</v>
      </c>
      <c r="J43" s="197">
        <v>1</v>
      </c>
      <c r="K43" s="197" t="s">
        <v>29</v>
      </c>
      <c r="L43" s="198">
        <v>7</v>
      </c>
      <c r="M43" s="199">
        <v>7</v>
      </c>
      <c r="N43" s="200">
        <v>7</v>
      </c>
      <c r="O43" s="342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2</v>
      </c>
      <c r="D44" s="194">
        <v>711</v>
      </c>
      <c r="E44" s="195">
        <v>46111</v>
      </c>
      <c r="F44" s="288">
        <v>2.7</v>
      </c>
      <c r="G44" s="196">
        <v>113</v>
      </c>
      <c r="H44" s="188">
        <v>3</v>
      </c>
      <c r="I44" s="188" t="s">
        <v>30</v>
      </c>
      <c r="J44" s="197"/>
      <c r="K44" s="197" t="s">
        <v>29</v>
      </c>
      <c r="L44" s="198"/>
      <c r="M44" s="199"/>
      <c r="N44" s="200"/>
      <c r="O44" s="342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2</v>
      </c>
      <c r="D45" s="202">
        <v>716</v>
      </c>
      <c r="E45" s="203">
        <v>46111</v>
      </c>
      <c r="F45" s="289">
        <v>5.2</v>
      </c>
      <c r="G45" s="204">
        <v>73</v>
      </c>
      <c r="H45" s="205">
        <v>3</v>
      </c>
      <c r="I45" s="206" t="s">
        <v>30</v>
      </c>
      <c r="J45" s="204"/>
      <c r="K45" s="204" t="s">
        <v>29</v>
      </c>
      <c r="L45" s="207"/>
      <c r="M45" s="208"/>
      <c r="N45" s="209"/>
      <c r="O45" s="342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2</v>
      </c>
      <c r="D46" s="194">
        <v>718</v>
      </c>
      <c r="E46" s="195">
        <v>46111</v>
      </c>
      <c r="F46" s="288">
        <v>2.5</v>
      </c>
      <c r="G46" s="196">
        <v>134</v>
      </c>
      <c r="H46" s="188">
        <v>3</v>
      </c>
      <c r="I46" s="188" t="s">
        <v>30</v>
      </c>
      <c r="J46" s="196"/>
      <c r="K46" s="197" t="s">
        <v>29</v>
      </c>
      <c r="L46" s="210"/>
      <c r="M46" s="211"/>
      <c r="N46" s="212"/>
      <c r="O46" s="342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2</v>
      </c>
      <c r="D47" s="194">
        <v>719</v>
      </c>
      <c r="E47" s="195">
        <v>46111</v>
      </c>
      <c r="F47" s="288">
        <v>17.5</v>
      </c>
      <c r="G47" s="196">
        <v>33</v>
      </c>
      <c r="H47" s="188">
        <v>2</v>
      </c>
      <c r="I47" s="188" t="s">
        <v>30</v>
      </c>
      <c r="J47" s="197"/>
      <c r="K47" s="197" t="s">
        <v>45</v>
      </c>
      <c r="L47" s="198"/>
      <c r="M47" s="199"/>
      <c r="N47" s="200"/>
      <c r="O47" s="342"/>
      <c r="P47" s="3"/>
    </row>
    <row r="48" spans="1:16" ht="19.5" customHeight="1" x14ac:dyDescent="0.25">
      <c r="A48" s="307"/>
      <c r="B48" s="254">
        <f t="shared" si="2"/>
        <v>2026</v>
      </c>
      <c r="C48" s="193">
        <f>C3</f>
        <v>2</v>
      </c>
      <c r="D48" s="194" t="s">
        <v>49</v>
      </c>
      <c r="E48" s="195">
        <v>46111</v>
      </c>
      <c r="F48" s="288">
        <v>4.8</v>
      </c>
      <c r="G48" s="196">
        <v>78</v>
      </c>
      <c r="H48" s="188">
        <v>3</v>
      </c>
      <c r="I48" s="188" t="s">
        <v>30</v>
      </c>
      <c r="J48" s="197"/>
      <c r="K48" s="197" t="s">
        <v>29</v>
      </c>
      <c r="L48" s="198"/>
      <c r="M48" s="199"/>
      <c r="N48" s="200"/>
      <c r="O48" s="342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2</v>
      </c>
      <c r="D49" s="194">
        <v>723</v>
      </c>
      <c r="E49" s="195">
        <v>46111</v>
      </c>
      <c r="F49" s="288">
        <v>4.7</v>
      </c>
      <c r="G49" s="196">
        <v>79</v>
      </c>
      <c r="H49" s="188">
        <v>3</v>
      </c>
      <c r="I49" s="188" t="s">
        <v>30</v>
      </c>
      <c r="J49" s="196"/>
      <c r="K49" s="197" t="s">
        <v>29</v>
      </c>
      <c r="L49" s="210"/>
      <c r="M49" s="211"/>
      <c r="N49" s="212"/>
      <c r="O49" s="342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2</v>
      </c>
      <c r="D50" s="194">
        <v>724</v>
      </c>
      <c r="E50" s="195">
        <v>46111</v>
      </c>
      <c r="F50" s="288">
        <v>3.6</v>
      </c>
      <c r="G50" s="196">
        <v>122</v>
      </c>
      <c r="H50" s="188">
        <v>1</v>
      </c>
      <c r="I50" s="188" t="s">
        <v>30</v>
      </c>
      <c r="J50" s="197"/>
      <c r="K50" s="197" t="s">
        <v>45</v>
      </c>
      <c r="L50" s="198"/>
      <c r="M50" s="199"/>
      <c r="N50" s="200"/>
      <c r="O50" s="342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2</v>
      </c>
      <c r="D51" s="213">
        <v>726</v>
      </c>
      <c r="E51" s="214">
        <v>46111</v>
      </c>
      <c r="F51" s="290">
        <v>4.0999999999999996</v>
      </c>
      <c r="G51" s="215">
        <v>115</v>
      </c>
      <c r="H51" s="216">
        <v>3</v>
      </c>
      <c r="I51" s="188" t="s">
        <v>30</v>
      </c>
      <c r="J51" s="217"/>
      <c r="K51" s="217" t="s">
        <v>29</v>
      </c>
      <c r="L51" s="218"/>
      <c r="M51" s="219"/>
      <c r="N51" s="220"/>
      <c r="O51" s="343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2</v>
      </c>
      <c r="D52" s="29">
        <v>809</v>
      </c>
      <c r="E52" s="26">
        <v>46113</v>
      </c>
      <c r="F52" s="291">
        <v>5.2</v>
      </c>
      <c r="G52" s="27">
        <v>112</v>
      </c>
      <c r="H52" s="28">
        <v>3</v>
      </c>
      <c r="I52" s="29" t="s">
        <v>28</v>
      </c>
      <c r="J52" s="30">
        <v>8</v>
      </c>
      <c r="K52" s="30" t="s">
        <v>29</v>
      </c>
      <c r="L52" s="31">
        <v>7</v>
      </c>
      <c r="M52" s="32">
        <v>12</v>
      </c>
      <c r="N52" s="33">
        <v>10.3</v>
      </c>
      <c r="O52" s="335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2</v>
      </c>
      <c r="D53" s="37">
        <v>812</v>
      </c>
      <c r="E53" s="34">
        <v>46111</v>
      </c>
      <c r="F53" s="292">
        <v>6.8</v>
      </c>
      <c r="G53" s="35">
        <v>118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5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2</v>
      </c>
      <c r="D54" s="58">
        <v>815</v>
      </c>
      <c r="E54" s="42">
        <v>46111</v>
      </c>
      <c r="F54" s="293">
        <v>3.1</v>
      </c>
      <c r="G54" s="43">
        <v>170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5"/>
      <c r="P54" s="3"/>
    </row>
    <row r="55" spans="1:16" ht="19.5" customHeight="1" thickBot="1" x14ac:dyDescent="0.25">
      <c r="A55" s="307"/>
      <c r="B55" s="249">
        <f t="shared" si="2"/>
        <v>2026</v>
      </c>
      <c r="C55" s="44">
        <f>C3</f>
        <v>2</v>
      </c>
      <c r="D55" s="58">
        <v>901</v>
      </c>
      <c r="E55" s="50">
        <v>46113</v>
      </c>
      <c r="F55" s="294">
        <v>3.6</v>
      </c>
      <c r="G55" s="43">
        <v>146</v>
      </c>
      <c r="H55" s="44">
        <v>2</v>
      </c>
      <c r="I55" s="45" t="s">
        <v>30</v>
      </c>
      <c r="J55" s="46"/>
      <c r="K55" s="46" t="s">
        <v>45</v>
      </c>
      <c r="L55" s="47"/>
      <c r="M55" s="48"/>
      <c r="N55" s="49"/>
      <c r="O55" s="335"/>
      <c r="P55" s="3"/>
    </row>
    <row r="56" spans="1:16" ht="19.5" customHeight="1" thickBot="1" x14ac:dyDescent="0.3">
      <c r="A56" s="307"/>
      <c r="B56" s="249">
        <f t="shared" si="2"/>
        <v>2026</v>
      </c>
      <c r="C56" s="44">
        <f>C3</f>
        <v>2</v>
      </c>
      <c r="D56" s="58" t="s">
        <v>43</v>
      </c>
      <c r="E56" s="50">
        <v>46113</v>
      </c>
      <c r="F56" s="294">
        <v>2.9</v>
      </c>
      <c r="G56" s="43">
        <v>178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5"/>
      <c r="P56" s="3"/>
    </row>
    <row r="57" spans="1:16" ht="19.5" customHeight="1" thickBot="1" x14ac:dyDescent="0.3">
      <c r="A57" s="307"/>
      <c r="B57" s="249">
        <f t="shared" si="2"/>
        <v>2026</v>
      </c>
      <c r="C57" s="44">
        <f>C3</f>
        <v>2</v>
      </c>
      <c r="D57" s="58" t="s">
        <v>50</v>
      </c>
      <c r="E57" s="50">
        <v>46111</v>
      </c>
      <c r="F57" s="294">
        <v>4.2</v>
      </c>
      <c r="G57" s="43">
        <v>173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5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2</v>
      </c>
      <c r="D58" s="58">
        <v>910</v>
      </c>
      <c r="E58" s="50">
        <v>46111</v>
      </c>
      <c r="F58" s="294">
        <v>4.0999999999999996</v>
      </c>
      <c r="G58" s="43">
        <v>130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5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2</v>
      </c>
      <c r="D59" s="58">
        <v>912</v>
      </c>
      <c r="E59" s="50">
        <v>46111</v>
      </c>
      <c r="F59" s="294">
        <v>4.5999999999999996</v>
      </c>
      <c r="G59" s="43">
        <v>117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5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2</v>
      </c>
      <c r="D60" s="58">
        <v>914</v>
      </c>
      <c r="E60" s="50">
        <v>46113</v>
      </c>
      <c r="F60" s="294">
        <v>5.8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5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2</v>
      </c>
      <c r="D61" s="58">
        <v>915</v>
      </c>
      <c r="E61" s="50">
        <v>46113</v>
      </c>
      <c r="F61" s="294">
        <v>2.9</v>
      </c>
      <c r="G61" s="43">
        <v>181</v>
      </c>
      <c r="H61" s="44">
        <v>3</v>
      </c>
      <c r="I61" s="45" t="s">
        <v>28</v>
      </c>
      <c r="J61" s="46">
        <v>1</v>
      </c>
      <c r="K61" s="46" t="s">
        <v>29</v>
      </c>
      <c r="L61" s="47">
        <v>10</v>
      </c>
      <c r="M61" s="48">
        <v>10</v>
      </c>
      <c r="N61" s="49">
        <v>10</v>
      </c>
      <c r="O61" s="335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2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5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2</v>
      </c>
      <c r="D63" s="59">
        <v>919</v>
      </c>
      <c r="E63" s="51">
        <v>46111</v>
      </c>
      <c r="F63" s="296">
        <v>7.5</v>
      </c>
      <c r="G63" s="52">
        <v>200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5"/>
      <c r="P63" s="6"/>
    </row>
    <row r="64" spans="1:16" ht="19.5" customHeight="1" x14ac:dyDescent="0.2">
      <c r="A64" s="224"/>
      <c r="B64" s="221" t="s">
        <v>35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24"/>
      <c r="P64" s="5"/>
    </row>
    <row r="65" spans="1:16" ht="19.5" customHeight="1" x14ac:dyDescent="0.2">
      <c r="A65" s="224"/>
      <c r="B65" s="221" t="s">
        <v>36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225"/>
      <c r="P65" s="11"/>
    </row>
    <row r="66" spans="1:16" ht="19.5" customHeight="1" x14ac:dyDescent="0.2">
      <c r="A66" s="224"/>
      <c r="B66" s="221" t="s">
        <v>37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24"/>
      <c r="P66" s="17"/>
    </row>
    <row r="67" spans="1:16" ht="15" customHeight="1" x14ac:dyDescent="0.2">
      <c r="A67" s="224"/>
      <c r="B67" s="227" t="s">
        <v>42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174</v>
      </c>
      <c r="P71" s="14"/>
    </row>
    <row r="72" spans="1:16" ht="15" customHeight="1" x14ac:dyDescent="0.2">
      <c r="I72" s="10" t="s">
        <v>14</v>
      </c>
      <c r="J72" s="4">
        <f>SUM(H3:H63)</f>
        <v>77</v>
      </c>
      <c r="P72" s="14"/>
    </row>
    <row r="73" spans="1:16" ht="15" customHeight="1" x14ac:dyDescent="0.2">
      <c r="I73" s="10" t="s">
        <v>15</v>
      </c>
      <c r="J73" s="13">
        <f>J72/J71</f>
        <v>0.44252873563218392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21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33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33</v>
      </c>
      <c r="K80" s="226"/>
      <c r="N80" s="4"/>
      <c r="O80" s="4"/>
    </row>
    <row r="81" spans="9:15" x14ac:dyDescent="0.2">
      <c r="I81" s="248" t="s">
        <v>27</v>
      </c>
      <c r="J81" s="18">
        <f>SUM(J52:J53)</f>
        <v>8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1</v>
      </c>
      <c r="K82" s="226"/>
      <c r="N82" s="4"/>
      <c r="O82" s="4"/>
    </row>
    <row r="83" spans="9:15" x14ac:dyDescent="0.2">
      <c r="J83" s="18">
        <f>SUM(J75:J82)</f>
        <v>96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C0C18C5-49B3-4CB9-92B1-3BEFEBD795C4}">
      <formula1>"Not Processed, No Smelt Catch, Not Sampled, Longfin Smelt, Delta Smelt"</formula1>
    </dataValidation>
    <dataValidation type="list" allowBlank="1" showInputMessage="1" showErrorMessage="1" sqref="K3:K63" xr:uid="{70F897F5-13F6-4837-9DAC-CD629F4421F9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53" workbookViewId="0">
      <selection activeCell="B3" sqref="B3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1"/>
      <c r="B1" s="2"/>
      <c r="C1" s="2"/>
      <c r="D1" s="2"/>
      <c r="E1" s="2"/>
      <c r="F1" s="300"/>
      <c r="G1" s="2"/>
      <c r="H1" s="2"/>
      <c r="I1" s="9"/>
      <c r="J1" s="2"/>
      <c r="K1" s="2"/>
      <c r="L1" s="2"/>
      <c r="M1" s="2"/>
      <c r="N1" s="326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3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6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3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6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3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6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3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6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3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6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3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6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3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6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3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6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3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6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3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6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3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6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3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6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3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6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3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7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3</v>
      </c>
      <c r="D17" s="90">
        <v>342</v>
      </c>
      <c r="E17" s="91">
        <v>46127</v>
      </c>
      <c r="F17" s="276">
        <v>31.2</v>
      </c>
      <c r="G17" s="92">
        <v>42</v>
      </c>
      <c r="H17" s="90">
        <v>1</v>
      </c>
      <c r="I17" s="90" t="s">
        <v>30</v>
      </c>
      <c r="J17" s="93"/>
      <c r="K17" s="93" t="s">
        <v>45</v>
      </c>
      <c r="L17" s="94"/>
      <c r="M17" s="95"/>
      <c r="N17" s="96"/>
      <c r="O17" s="337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3</v>
      </c>
      <c r="D18" s="90">
        <v>343</v>
      </c>
      <c r="E18" s="91">
        <v>46127</v>
      </c>
      <c r="F18" s="276">
        <v>27</v>
      </c>
      <c r="G18" s="92">
        <v>37</v>
      </c>
      <c r="H18" s="90">
        <v>1</v>
      </c>
      <c r="I18" s="90" t="s">
        <v>30</v>
      </c>
      <c r="J18" s="93"/>
      <c r="K18" s="93" t="s">
        <v>45</v>
      </c>
      <c r="L18" s="94"/>
      <c r="M18" s="95"/>
      <c r="N18" s="96"/>
      <c r="O18" s="337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3</v>
      </c>
      <c r="D19" s="90">
        <v>344</v>
      </c>
      <c r="E19" s="91">
        <v>46127</v>
      </c>
      <c r="F19" s="276">
        <v>18.399999999999999</v>
      </c>
      <c r="G19" s="92">
        <v>41</v>
      </c>
      <c r="H19" s="90">
        <v>1</v>
      </c>
      <c r="I19" s="90" t="s">
        <v>30</v>
      </c>
      <c r="J19" s="93"/>
      <c r="K19" s="93" t="s">
        <v>45</v>
      </c>
      <c r="L19" s="94"/>
      <c r="M19" s="95"/>
      <c r="N19" s="96"/>
      <c r="O19" s="337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3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7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3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7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3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8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3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8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3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8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3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9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3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9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3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9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3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9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3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9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3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9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3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9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3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9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3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9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3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0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3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0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3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0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3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0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3</v>
      </c>
      <c r="D38" s="175">
        <v>804</v>
      </c>
      <c r="E38" s="176">
        <v>46126</v>
      </c>
      <c r="F38" s="286">
        <v>4.5</v>
      </c>
      <c r="G38" s="177">
        <v>127</v>
      </c>
      <c r="H38" s="178">
        <v>3</v>
      </c>
      <c r="I38" s="179" t="s">
        <v>28</v>
      </c>
      <c r="J38" s="179">
        <v>1</v>
      </c>
      <c r="K38" s="179" t="s">
        <v>29</v>
      </c>
      <c r="L38" s="180">
        <v>14</v>
      </c>
      <c r="M38" s="181">
        <v>14</v>
      </c>
      <c r="N38" s="182">
        <v>14</v>
      </c>
      <c r="O38" s="340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3</v>
      </c>
      <c r="D39" s="184">
        <v>703</v>
      </c>
      <c r="E39" s="185">
        <v>46126</v>
      </c>
      <c r="F39" s="287">
        <v>9.3000000000000007</v>
      </c>
      <c r="G39" s="186">
        <v>103</v>
      </c>
      <c r="H39" s="187">
        <v>2</v>
      </c>
      <c r="I39" s="188" t="s">
        <v>30</v>
      </c>
      <c r="J39" s="189"/>
      <c r="K39" s="189" t="s">
        <v>45</v>
      </c>
      <c r="L39" s="190"/>
      <c r="M39" s="191"/>
      <c r="N39" s="192"/>
      <c r="O39" s="341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3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2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3</v>
      </c>
      <c r="D41" s="194">
        <v>705</v>
      </c>
      <c r="E41" s="195">
        <v>46126</v>
      </c>
      <c r="F41" s="288">
        <v>3.5</v>
      </c>
      <c r="G41" s="196">
        <v>137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2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3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2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3</v>
      </c>
      <c r="D43" s="194">
        <v>707</v>
      </c>
      <c r="E43" s="195">
        <v>46126</v>
      </c>
      <c r="F43" s="288">
        <v>6</v>
      </c>
      <c r="G43" s="196">
        <v>89</v>
      </c>
      <c r="H43" s="188">
        <v>3</v>
      </c>
      <c r="I43" s="188" t="s">
        <v>30</v>
      </c>
      <c r="J43" s="197"/>
      <c r="K43" s="197" t="s">
        <v>29</v>
      </c>
      <c r="L43" s="198"/>
      <c r="M43" s="199"/>
      <c r="N43" s="200"/>
      <c r="O43" s="342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3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2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3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2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3</v>
      </c>
      <c r="D46" s="194">
        <v>718</v>
      </c>
      <c r="E46" s="195">
        <v>46128</v>
      </c>
      <c r="F46" s="288">
        <v>3.1</v>
      </c>
      <c r="G46" s="196">
        <v>127</v>
      </c>
      <c r="H46" s="188">
        <v>1</v>
      </c>
      <c r="I46" s="188" t="s">
        <v>30</v>
      </c>
      <c r="J46" s="196"/>
      <c r="K46" s="197" t="s">
        <v>45</v>
      </c>
      <c r="L46" s="210"/>
      <c r="M46" s="211"/>
      <c r="N46" s="212"/>
      <c r="O46" s="342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3</v>
      </c>
      <c r="D47" s="194">
        <v>719</v>
      </c>
      <c r="E47" s="195">
        <v>46127</v>
      </c>
      <c r="F47" s="288">
        <v>27.4</v>
      </c>
      <c r="G47" s="196">
        <v>23</v>
      </c>
      <c r="H47" s="188">
        <v>3</v>
      </c>
      <c r="I47" s="188"/>
      <c r="J47" s="197"/>
      <c r="K47" s="197"/>
      <c r="L47" s="198"/>
      <c r="M47" s="199"/>
      <c r="N47" s="200"/>
      <c r="O47" s="342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3</v>
      </c>
      <c r="D48" s="194">
        <v>720</v>
      </c>
      <c r="E48" s="195">
        <v>46128</v>
      </c>
      <c r="F48" s="288">
        <v>5.2</v>
      </c>
      <c r="G48" s="196">
        <v>97</v>
      </c>
      <c r="H48" s="188">
        <v>2</v>
      </c>
      <c r="I48" s="188" t="s">
        <v>30</v>
      </c>
      <c r="J48" s="197"/>
      <c r="K48" s="197" t="s">
        <v>45</v>
      </c>
      <c r="L48" s="198"/>
      <c r="M48" s="199"/>
      <c r="N48" s="200"/>
      <c r="O48" s="342"/>
      <c r="P48" s="3"/>
    </row>
    <row r="49" spans="1:16" ht="19.5" customHeight="1" x14ac:dyDescent="0.2">
      <c r="A49" s="307" t="s">
        <v>34</v>
      </c>
      <c r="B49" s="254">
        <f t="shared" si="2"/>
        <v>2026</v>
      </c>
      <c r="C49" s="193">
        <f>C3</f>
        <v>3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2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3</v>
      </c>
      <c r="D50" s="194">
        <v>724</v>
      </c>
      <c r="E50" s="195">
        <v>46127</v>
      </c>
      <c r="F50" s="288">
        <v>13.1</v>
      </c>
      <c r="G50" s="196">
        <v>63</v>
      </c>
      <c r="H50" s="188">
        <v>3</v>
      </c>
      <c r="I50" s="188" t="s">
        <v>30</v>
      </c>
      <c r="J50" s="197"/>
      <c r="K50" s="197" t="s">
        <v>29</v>
      </c>
      <c r="L50" s="198"/>
      <c r="M50" s="199"/>
      <c r="N50" s="200"/>
      <c r="O50" s="342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3</v>
      </c>
      <c r="D51" s="213">
        <v>726</v>
      </c>
      <c r="E51" s="214">
        <v>46127</v>
      </c>
      <c r="F51" s="290">
        <v>12.4</v>
      </c>
      <c r="G51" s="215">
        <v>68</v>
      </c>
      <c r="H51" s="216">
        <v>3</v>
      </c>
      <c r="I51" s="188" t="s">
        <v>30</v>
      </c>
      <c r="J51" s="217"/>
      <c r="K51" s="217" t="s">
        <v>29</v>
      </c>
      <c r="L51" s="218"/>
      <c r="M51" s="219"/>
      <c r="N51" s="220"/>
      <c r="O51" s="343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3</v>
      </c>
      <c r="D52" s="29">
        <v>809</v>
      </c>
      <c r="E52" s="26">
        <v>46125</v>
      </c>
      <c r="F52" s="291">
        <v>5.8</v>
      </c>
      <c r="G52" s="27">
        <v>119</v>
      </c>
      <c r="H52" s="28">
        <v>3</v>
      </c>
      <c r="I52" s="29" t="s">
        <v>28</v>
      </c>
      <c r="J52" s="30">
        <v>4</v>
      </c>
      <c r="K52" s="30" t="s">
        <v>29</v>
      </c>
      <c r="L52" s="31">
        <v>12</v>
      </c>
      <c r="M52" s="32">
        <v>15</v>
      </c>
      <c r="N52" s="33">
        <v>13.7</v>
      </c>
      <c r="O52" s="335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3</v>
      </c>
      <c r="D53" s="37">
        <v>812</v>
      </c>
      <c r="E53" s="34">
        <v>46125</v>
      </c>
      <c r="F53" s="325">
        <v>3.7</v>
      </c>
      <c r="G53" s="35">
        <v>154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5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3</v>
      </c>
      <c r="D54" s="58">
        <v>815</v>
      </c>
      <c r="E54" s="42">
        <v>46125</v>
      </c>
      <c r="F54" s="293">
        <v>3.4</v>
      </c>
      <c r="G54" s="43">
        <v>132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5"/>
      <c r="P54" s="3"/>
    </row>
    <row r="55" spans="1:16" ht="19.5" customHeight="1" thickBot="1" x14ac:dyDescent="0.3">
      <c r="A55" s="307"/>
      <c r="B55" s="249">
        <f t="shared" si="2"/>
        <v>2026</v>
      </c>
      <c r="C55" s="44">
        <f>C3</f>
        <v>3</v>
      </c>
      <c r="D55" s="58" t="s">
        <v>51</v>
      </c>
      <c r="E55" s="50">
        <v>46126</v>
      </c>
      <c r="F55" s="294">
        <v>3.2</v>
      </c>
      <c r="G55" s="43">
        <v>168</v>
      </c>
      <c r="H55" s="44">
        <v>2</v>
      </c>
      <c r="I55" s="45" t="s">
        <v>30</v>
      </c>
      <c r="J55" s="46"/>
      <c r="K55" s="46" t="s">
        <v>29</v>
      </c>
      <c r="L55" s="47"/>
      <c r="M55" s="48"/>
      <c r="N55" s="49"/>
      <c r="O55" s="335"/>
      <c r="P55" s="3"/>
    </row>
    <row r="56" spans="1:16" ht="19.5" customHeight="1" thickBot="1" x14ac:dyDescent="0.25">
      <c r="A56" s="307"/>
      <c r="B56" s="249">
        <f t="shared" si="2"/>
        <v>2026</v>
      </c>
      <c r="C56" s="44">
        <f>C3</f>
        <v>3</v>
      </c>
      <c r="D56" s="58">
        <v>902</v>
      </c>
      <c r="E56" s="50">
        <v>46126</v>
      </c>
      <c r="F56" s="294">
        <v>1.7</v>
      </c>
      <c r="G56" s="43">
        <v>198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5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3</v>
      </c>
      <c r="D57" s="58">
        <v>906</v>
      </c>
      <c r="E57" s="50">
        <v>46125</v>
      </c>
      <c r="F57" s="294">
        <v>3.1</v>
      </c>
      <c r="G57" s="43">
        <v>187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5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3</v>
      </c>
      <c r="D58" s="58">
        <v>910</v>
      </c>
      <c r="E58" s="50">
        <v>46125</v>
      </c>
      <c r="F58" s="294">
        <v>4.0999999999999996</v>
      </c>
      <c r="G58" s="43">
        <v>104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5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3</v>
      </c>
      <c r="D59" s="58">
        <v>912</v>
      </c>
      <c r="E59" s="50">
        <v>46126</v>
      </c>
      <c r="F59" s="294">
        <v>5</v>
      </c>
      <c r="G59" s="43">
        <v>108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5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3</v>
      </c>
      <c r="D60" s="58">
        <v>914</v>
      </c>
      <c r="E60" s="50">
        <v>46126</v>
      </c>
      <c r="F60" s="294">
        <v>1.5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5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3</v>
      </c>
      <c r="D61" s="58">
        <v>915</v>
      </c>
      <c r="E61" s="50">
        <v>46126</v>
      </c>
      <c r="F61" s="294">
        <v>1.9</v>
      </c>
      <c r="G61" s="43">
        <v>200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5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3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5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3</v>
      </c>
      <c r="D63" s="59">
        <v>919</v>
      </c>
      <c r="E63" s="51">
        <v>46125</v>
      </c>
      <c r="F63" s="296">
        <v>3.7</v>
      </c>
      <c r="G63" s="52">
        <v>141</v>
      </c>
      <c r="H63" s="53">
        <v>3</v>
      </c>
      <c r="I63" s="45" t="s">
        <v>28</v>
      </c>
      <c r="J63" s="54">
        <v>2</v>
      </c>
      <c r="K63" s="54" t="s">
        <v>29</v>
      </c>
      <c r="L63" s="55">
        <v>16</v>
      </c>
      <c r="M63" s="56">
        <v>16</v>
      </c>
      <c r="N63" s="57">
        <v>16</v>
      </c>
      <c r="O63" s="335"/>
      <c r="P63" s="6"/>
    </row>
    <row r="64" spans="1:16" ht="19.5" customHeight="1" x14ac:dyDescent="0.2">
      <c r="A64" s="224"/>
      <c r="B64" s="221" t="s">
        <v>35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  <c r="P64" s="5"/>
    </row>
    <row r="65" spans="1:16" ht="19.5" customHeight="1" x14ac:dyDescent="0.2">
      <c r="A65" s="224"/>
      <c r="B65" s="221" t="s">
        <v>36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  <c r="P65" s="11"/>
    </row>
    <row r="66" spans="1:16" ht="19.5" customHeight="1" x14ac:dyDescent="0.2">
      <c r="A66" s="224"/>
      <c r="B66" s="221" t="s">
        <v>37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  <c r="P66" s="17"/>
    </row>
    <row r="67" spans="1:16" ht="15" customHeight="1" x14ac:dyDescent="0.2">
      <c r="A67" s="224"/>
      <c r="B67" s="227" t="s">
        <v>38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58</v>
      </c>
      <c r="P72" s="14"/>
    </row>
    <row r="73" spans="1:16" ht="15" customHeight="1" x14ac:dyDescent="0.2">
      <c r="I73" s="10" t="s">
        <v>15</v>
      </c>
      <c r="J73" s="13">
        <f>J72/J71</f>
        <v>0.32402234636871508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1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27</v>
      </c>
      <c r="J81" s="18">
        <f>SUM(J52:J53)</f>
        <v>4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2</v>
      </c>
      <c r="K82" s="226"/>
      <c r="N82" s="4"/>
      <c r="O82" s="4"/>
    </row>
    <row r="83" spans="9:15" x14ac:dyDescent="0.2">
      <c r="J83" s="18">
        <f>SUM(J75:J82)</f>
        <v>7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B076E7F7-4A10-4233-B970-C556E96244A6}">
      <formula1>"Preliminary, Complete"</formula1>
    </dataValidation>
    <dataValidation type="list" allowBlank="1" showInputMessage="1" showErrorMessage="1" sqref="I3:I63" xr:uid="{70D9D648-336C-42CF-B2AC-12D4083ED632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P84"/>
  <sheetViews>
    <sheetView topLeftCell="A49" workbookViewId="0">
      <selection activeCell="B3" sqref="B3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16.42578125" style="4" customWidth="1"/>
    <col min="18" max="18" width="18.85546875" style="4" customWidth="1"/>
    <col min="19" max="22" width="9.140625" style="4"/>
    <col min="23" max="23" width="19" style="4" customWidth="1"/>
    <col min="24" max="24" width="9.140625" style="4"/>
    <col min="25" max="25" width="9.7109375" style="4" bestFit="1" customWidth="1"/>
    <col min="26" max="16384" width="9.140625" style="4"/>
  </cols>
  <sheetData>
    <row r="1" spans="1:16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4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6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4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6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4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6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4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6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4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6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4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6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4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6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4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6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4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6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4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6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4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6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4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6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4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6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4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7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4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7"/>
      <c r="P17" s="3"/>
    </row>
    <row r="18" spans="1:16" ht="19.5" customHeight="1" thickBot="1" x14ac:dyDescent="0.25">
      <c r="A18" s="307"/>
      <c r="B18" s="89">
        <f t="shared" ref="B18:B51" si="2">B17</f>
        <v>2026</v>
      </c>
      <c r="C18" s="89">
        <f>C3</f>
        <v>4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7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4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7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4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7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4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7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4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8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4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8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4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8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4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9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4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9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4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9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4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9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4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9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4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9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4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9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4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9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4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9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4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0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4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0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4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0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4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0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4</v>
      </c>
      <c r="D38" s="175">
        <v>804</v>
      </c>
      <c r="E38" s="176">
        <v>46140</v>
      </c>
      <c r="F38" s="286">
        <v>4.5</v>
      </c>
      <c r="G38" s="177">
        <v>150</v>
      </c>
      <c r="H38" s="178">
        <v>3</v>
      </c>
      <c r="I38" s="179" t="s">
        <v>30</v>
      </c>
      <c r="J38" s="179"/>
      <c r="K38" s="179" t="s">
        <v>29</v>
      </c>
      <c r="L38" s="180"/>
      <c r="M38" s="181"/>
      <c r="N38" s="182"/>
      <c r="O38" s="340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4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1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4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2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4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2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4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2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4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2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4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2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4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2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4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2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4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2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4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2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4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2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4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2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4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3"/>
      <c r="P51" s="3"/>
    </row>
    <row r="52" spans="1:16" ht="19.5" customHeight="1" thickBot="1" x14ac:dyDescent="0.25">
      <c r="A52" s="307"/>
      <c r="B52" s="252">
        <v>2026</v>
      </c>
      <c r="C52" s="28">
        <v>4</v>
      </c>
      <c r="D52" s="29">
        <v>809</v>
      </c>
      <c r="E52" s="26">
        <v>46139</v>
      </c>
      <c r="F52" s="291">
        <v>5.3</v>
      </c>
      <c r="G52" s="27">
        <v>148</v>
      </c>
      <c r="H52" s="28">
        <v>3</v>
      </c>
      <c r="I52" s="29" t="s">
        <v>30</v>
      </c>
      <c r="J52" s="30"/>
      <c r="K52" s="30" t="s">
        <v>29</v>
      </c>
      <c r="L52" s="31"/>
      <c r="M52" s="32"/>
      <c r="N52" s="33"/>
      <c r="O52" s="335" t="s">
        <v>8</v>
      </c>
      <c r="P52" s="3"/>
    </row>
    <row r="53" spans="1:16" ht="19.5" customHeight="1" thickBot="1" x14ac:dyDescent="0.25">
      <c r="A53" s="307"/>
      <c r="B53" s="250">
        <v>2026</v>
      </c>
      <c r="C53" s="36">
        <v>4</v>
      </c>
      <c r="D53" s="37">
        <v>812</v>
      </c>
      <c r="E53" s="34">
        <v>46139</v>
      </c>
      <c r="F53" s="292">
        <v>5.6</v>
      </c>
      <c r="G53" s="35">
        <v>123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5"/>
      <c r="P53" s="3"/>
    </row>
    <row r="54" spans="1:16" ht="19.5" customHeight="1" thickBot="1" x14ac:dyDescent="0.25">
      <c r="A54" s="307"/>
      <c r="B54" s="249">
        <v>2026</v>
      </c>
      <c r="C54" s="44">
        <v>4</v>
      </c>
      <c r="D54" s="58">
        <v>815</v>
      </c>
      <c r="E54" s="42">
        <v>46139</v>
      </c>
      <c r="F54" s="293">
        <v>5.0999999999999996</v>
      </c>
      <c r="G54" s="43">
        <v>167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5"/>
      <c r="P54" s="3"/>
    </row>
    <row r="55" spans="1:16" ht="19.5" customHeight="1" thickBot="1" x14ac:dyDescent="0.25">
      <c r="A55" s="307"/>
      <c r="B55" s="249">
        <v>2026</v>
      </c>
      <c r="C55" s="44">
        <v>4</v>
      </c>
      <c r="D55" s="58" t="s">
        <v>39</v>
      </c>
      <c r="E55" s="50">
        <v>46140</v>
      </c>
      <c r="F55" s="294">
        <v>2.7</v>
      </c>
      <c r="G55" s="43">
        <v>200</v>
      </c>
      <c r="H55" s="44">
        <v>3</v>
      </c>
      <c r="I55" s="45" t="s">
        <v>30</v>
      </c>
      <c r="J55" s="46"/>
      <c r="K55" s="46" t="s">
        <v>29</v>
      </c>
      <c r="L55" s="47"/>
      <c r="M55" s="48"/>
      <c r="N55" s="49"/>
      <c r="O55" s="335"/>
      <c r="P55" s="3"/>
    </row>
    <row r="56" spans="1:16" ht="19.5" customHeight="1" thickBot="1" x14ac:dyDescent="0.25">
      <c r="A56" s="307"/>
      <c r="B56" s="249">
        <v>2026</v>
      </c>
      <c r="C56" s="44">
        <v>4</v>
      </c>
      <c r="D56" s="58">
        <v>902</v>
      </c>
      <c r="E56" s="50">
        <v>46140</v>
      </c>
      <c r="F56" s="294">
        <v>2.4</v>
      </c>
      <c r="G56" s="43">
        <v>200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5"/>
      <c r="P56" s="3"/>
    </row>
    <row r="57" spans="1:16" ht="19.5" customHeight="1" thickBot="1" x14ac:dyDescent="0.25">
      <c r="A57" s="307"/>
      <c r="B57" s="249">
        <v>2026</v>
      </c>
      <c r="C57" s="44">
        <v>4</v>
      </c>
      <c r="D57" s="58">
        <v>906</v>
      </c>
      <c r="E57" s="50">
        <v>46139</v>
      </c>
      <c r="F57" s="294">
        <v>3.3</v>
      </c>
      <c r="G57" s="43">
        <v>200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5"/>
      <c r="P57" s="3"/>
    </row>
    <row r="58" spans="1:16" ht="19.5" customHeight="1" thickBot="1" x14ac:dyDescent="0.25">
      <c r="A58" s="307"/>
      <c r="B58" s="249">
        <v>2026</v>
      </c>
      <c r="C58" s="44">
        <v>4</v>
      </c>
      <c r="D58" s="58" t="s">
        <v>40</v>
      </c>
      <c r="E58" s="50">
        <v>46139</v>
      </c>
      <c r="F58" s="294">
        <v>4.5999999999999996</v>
      </c>
      <c r="G58" s="43">
        <v>132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5"/>
      <c r="P58" s="3"/>
    </row>
    <row r="59" spans="1:16" ht="19.5" customHeight="1" thickBot="1" x14ac:dyDescent="0.25">
      <c r="A59" s="319"/>
      <c r="B59" s="249">
        <v>2026</v>
      </c>
      <c r="C59" s="44">
        <v>4</v>
      </c>
      <c r="D59" s="58">
        <v>912</v>
      </c>
      <c r="E59" s="50">
        <v>46140</v>
      </c>
      <c r="F59" s="294">
        <v>6.7</v>
      </c>
      <c r="G59" s="43">
        <v>103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5"/>
      <c r="P59" s="3"/>
    </row>
    <row r="60" spans="1:16" ht="19.5" customHeight="1" thickBot="1" x14ac:dyDescent="0.25">
      <c r="A60" s="320"/>
      <c r="B60" s="249">
        <v>2026</v>
      </c>
      <c r="C60" s="44">
        <v>4</v>
      </c>
      <c r="D60" s="58" t="s">
        <v>41</v>
      </c>
      <c r="E60" s="50">
        <v>46140</v>
      </c>
      <c r="F60" s="294">
        <v>2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5"/>
      <c r="P60" s="3"/>
    </row>
    <row r="61" spans="1:16" ht="19.5" customHeight="1" thickBot="1" x14ac:dyDescent="0.25">
      <c r="A61" s="321"/>
      <c r="B61" s="249">
        <v>2026</v>
      </c>
      <c r="C61" s="44">
        <v>4</v>
      </c>
      <c r="D61" s="58">
        <v>915</v>
      </c>
      <c r="E61" s="50">
        <v>46140</v>
      </c>
      <c r="F61" s="294">
        <v>2.5</v>
      </c>
      <c r="G61" s="43">
        <v>200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5"/>
      <c r="P61" s="3"/>
    </row>
    <row r="62" spans="1:16" ht="19.5" customHeight="1" thickBot="1" x14ac:dyDescent="0.25">
      <c r="A62" s="226"/>
      <c r="B62" s="260">
        <v>2026</v>
      </c>
      <c r="C62" s="261">
        <v>4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5"/>
      <c r="P62" s="3"/>
    </row>
    <row r="63" spans="1:16" ht="19.5" customHeight="1" thickBot="1" x14ac:dyDescent="0.25">
      <c r="A63" s="224"/>
      <c r="B63" s="253">
        <v>2026</v>
      </c>
      <c r="C63" s="53">
        <v>4</v>
      </c>
      <c r="D63" s="59">
        <v>919</v>
      </c>
      <c r="E63" s="51">
        <v>46139</v>
      </c>
      <c r="F63" s="296">
        <v>6</v>
      </c>
      <c r="G63" s="52">
        <v>139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5"/>
      <c r="P63" s="6"/>
    </row>
    <row r="64" spans="1:16" ht="19.5" customHeight="1" x14ac:dyDescent="0.2">
      <c r="A64" s="224"/>
      <c r="B64" s="221" t="s">
        <v>35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</row>
    <row r="65" spans="1:16" ht="19.5" customHeight="1" x14ac:dyDescent="0.2">
      <c r="A65" s="224"/>
      <c r="B65" s="221" t="s">
        <v>36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16" ht="19.5" customHeight="1" x14ac:dyDescent="0.2">
      <c r="A66" s="224"/>
      <c r="B66" s="221" t="s">
        <v>37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16" ht="19.5" customHeight="1" x14ac:dyDescent="0.2">
      <c r="A67" s="224"/>
      <c r="B67" s="227" t="s">
        <v>42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/>
      <c r="K68" s="332"/>
      <c r="L68" s="16"/>
      <c r="M68" s="19"/>
      <c r="N68" s="238"/>
      <c r="O68" s="333"/>
    </row>
    <row r="69" spans="1:16" ht="15" customHeight="1" x14ac:dyDescent="0.2">
      <c r="H69" s="20"/>
      <c r="O69" s="1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180</v>
      </c>
      <c r="P71" s="14"/>
    </row>
    <row r="72" spans="1:16" ht="15" customHeight="1" x14ac:dyDescent="0.2">
      <c r="I72" s="10" t="s">
        <v>14</v>
      </c>
      <c r="J72" s="4">
        <f>SUM(H3:H63)</f>
        <v>36</v>
      </c>
      <c r="P72" s="14"/>
    </row>
    <row r="73" spans="1:16" ht="15" customHeight="1" x14ac:dyDescent="0.2">
      <c r="I73" s="10" t="s">
        <v>15</v>
      </c>
      <c r="J73" s="13">
        <f>J72/J71</f>
        <v>0.2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N75" s="4"/>
    </row>
    <row r="76" spans="1:16" x14ac:dyDescent="0.2">
      <c r="I76" s="248" t="s">
        <v>18</v>
      </c>
      <c r="J76" s="18">
        <f>SUM(J16:J21)</f>
        <v>0</v>
      </c>
      <c r="N76" s="4"/>
    </row>
    <row r="77" spans="1:16" x14ac:dyDescent="0.2">
      <c r="I77" s="248" t="s">
        <v>21</v>
      </c>
      <c r="J77" s="18">
        <f>SUM(J22:J24)</f>
        <v>0</v>
      </c>
      <c r="N77" s="4"/>
    </row>
    <row r="78" spans="1:16" x14ac:dyDescent="0.2">
      <c r="I78" s="248" t="s">
        <v>22</v>
      </c>
      <c r="J78" s="18">
        <f>SUM(J25:J33)</f>
        <v>0</v>
      </c>
      <c r="N78" s="4"/>
    </row>
    <row r="79" spans="1:16" x14ac:dyDescent="0.2">
      <c r="I79" s="248" t="s">
        <v>6</v>
      </c>
      <c r="J79" s="18">
        <f>SUM(J34:J38)</f>
        <v>0</v>
      </c>
      <c r="N79" s="4"/>
    </row>
    <row r="80" spans="1:16" x14ac:dyDescent="0.2">
      <c r="I80" s="248" t="s">
        <v>23</v>
      </c>
      <c r="J80" s="18">
        <f>SUM(J39:J51)</f>
        <v>0</v>
      </c>
      <c r="N80" s="4"/>
    </row>
    <row r="81" spans="9:14" x14ac:dyDescent="0.2">
      <c r="I81" s="248" t="s">
        <v>27</v>
      </c>
      <c r="J81" s="18">
        <f>SUM(J52:J53)</f>
        <v>0</v>
      </c>
      <c r="N81" s="4"/>
    </row>
    <row r="82" spans="9:14" x14ac:dyDescent="0.2">
      <c r="I82" s="248" t="s">
        <v>24</v>
      </c>
      <c r="J82" s="18">
        <f>SUM(J54:J63)</f>
        <v>0</v>
      </c>
      <c r="N82" s="4"/>
    </row>
    <row r="83" spans="9:14" x14ac:dyDescent="0.2">
      <c r="J83" s="18">
        <f>SUM(J75:J82)</f>
        <v>0</v>
      </c>
      <c r="N83" s="4"/>
    </row>
    <row r="84" spans="9:14" x14ac:dyDescent="0.2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FFE5-8CD2-4914-9FD1-C01EF012BB98}">
  <dimension ref="A1:P84"/>
  <sheetViews>
    <sheetView topLeftCell="A47" workbookViewId="0">
      <selection activeCell="F73" sqref="F73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16.42578125" style="4" customWidth="1"/>
    <col min="18" max="18" width="18.85546875" style="4" customWidth="1"/>
    <col min="19" max="22" width="9.140625" style="4"/>
    <col min="23" max="23" width="19" style="4" customWidth="1"/>
    <col min="24" max="24" width="9.140625" style="4"/>
    <col min="25" max="25" width="9.7109375" style="4" bestFit="1" customWidth="1"/>
    <col min="26" max="16384" width="9.140625" style="4"/>
  </cols>
  <sheetData>
    <row r="1" spans="1:16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5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6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5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6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5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6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5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6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5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6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5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6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5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6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5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6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5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6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5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6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5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6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5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6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5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6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5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7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5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7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5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7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5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7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5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7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5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7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5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8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5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8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5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8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5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9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5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9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5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9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5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9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5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9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5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9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5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9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5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9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5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9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5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0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5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0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5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0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5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0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5</v>
      </c>
      <c r="D38" s="175">
        <v>804</v>
      </c>
      <c r="E38" s="176">
        <v>46154</v>
      </c>
      <c r="F38" s="286">
        <v>6.1</v>
      </c>
      <c r="G38" s="177">
        <v>72</v>
      </c>
      <c r="H38" s="178">
        <v>3</v>
      </c>
      <c r="I38" s="179" t="s">
        <v>30</v>
      </c>
      <c r="J38" s="179"/>
      <c r="K38" s="179" t="s">
        <v>29</v>
      </c>
      <c r="L38" s="180"/>
      <c r="M38" s="181"/>
      <c r="N38" s="182"/>
      <c r="O38" s="340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5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1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5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2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5</v>
      </c>
      <c r="D41" s="194">
        <v>705</v>
      </c>
      <c r="E41" s="195">
        <v>46154</v>
      </c>
      <c r="F41" s="288">
        <v>3.2</v>
      </c>
      <c r="G41" s="196">
        <v>200</v>
      </c>
      <c r="H41" s="188">
        <v>3</v>
      </c>
      <c r="I41" s="188" t="s">
        <v>30</v>
      </c>
      <c r="J41" s="197"/>
      <c r="K41" s="197" t="s">
        <v>29</v>
      </c>
      <c r="L41" s="198"/>
      <c r="M41" s="199"/>
      <c r="N41" s="200"/>
      <c r="O41" s="342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5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2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5</v>
      </c>
      <c r="D43" s="194">
        <v>707</v>
      </c>
      <c r="E43" s="195">
        <v>46154</v>
      </c>
      <c r="F43" s="288">
        <v>4.7</v>
      </c>
      <c r="G43" s="196">
        <v>112</v>
      </c>
      <c r="H43" s="188">
        <v>3</v>
      </c>
      <c r="I43" s="188" t="s">
        <v>30</v>
      </c>
      <c r="J43" s="197"/>
      <c r="K43" s="197" t="s">
        <v>29</v>
      </c>
      <c r="L43" s="198"/>
      <c r="M43" s="199"/>
      <c r="N43" s="200"/>
      <c r="O43" s="342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5</v>
      </c>
      <c r="D44" s="194">
        <v>711</v>
      </c>
      <c r="E44" s="195">
        <v>46154</v>
      </c>
      <c r="F44" s="288">
        <v>3.2</v>
      </c>
      <c r="G44" s="196">
        <v>200</v>
      </c>
      <c r="H44" s="188">
        <v>3</v>
      </c>
      <c r="I44" s="188" t="s">
        <v>30</v>
      </c>
      <c r="J44" s="197"/>
      <c r="K44" s="197" t="s">
        <v>29</v>
      </c>
      <c r="L44" s="198"/>
      <c r="M44" s="199"/>
      <c r="N44" s="200"/>
      <c r="O44" s="342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5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2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5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2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5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2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5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2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5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2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5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2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5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3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5</v>
      </c>
      <c r="D52" s="29">
        <v>809</v>
      </c>
      <c r="E52" s="26">
        <v>46153</v>
      </c>
      <c r="F52" s="291">
        <v>7.4</v>
      </c>
      <c r="G52" s="27">
        <v>130</v>
      </c>
      <c r="H52" s="28">
        <v>3</v>
      </c>
      <c r="I52" s="29" t="s">
        <v>30</v>
      </c>
      <c r="J52" s="30"/>
      <c r="K52" s="30" t="s">
        <v>29</v>
      </c>
      <c r="L52" s="31"/>
      <c r="M52" s="32"/>
      <c r="N52" s="33"/>
      <c r="O52" s="335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5</v>
      </c>
      <c r="D53" s="37">
        <v>812</v>
      </c>
      <c r="E53" s="34">
        <v>46153</v>
      </c>
      <c r="F53" s="292">
        <v>3</v>
      </c>
      <c r="G53" s="35">
        <v>111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5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5</v>
      </c>
      <c r="D54" s="58">
        <v>815</v>
      </c>
      <c r="E54" s="42">
        <v>46153</v>
      </c>
      <c r="F54" s="293">
        <v>2.7</v>
      </c>
      <c r="G54" s="43">
        <v>115</v>
      </c>
      <c r="H54" s="44"/>
      <c r="I54" s="45"/>
      <c r="J54" s="46"/>
      <c r="K54" s="46"/>
      <c r="L54" s="47"/>
      <c r="M54" s="48"/>
      <c r="N54" s="49"/>
      <c r="O54" s="335"/>
      <c r="P54" s="3"/>
    </row>
    <row r="55" spans="1:16" ht="19.5" customHeight="1" thickBot="1" x14ac:dyDescent="0.3">
      <c r="A55" s="307"/>
      <c r="B55" s="249">
        <f t="shared" si="2"/>
        <v>2026</v>
      </c>
      <c r="C55" s="44">
        <f>C3</f>
        <v>5</v>
      </c>
      <c r="D55" s="58" t="s">
        <v>52</v>
      </c>
      <c r="E55" s="50">
        <v>46154</v>
      </c>
      <c r="F55" s="294">
        <v>3.5</v>
      </c>
      <c r="G55" s="43">
        <v>123</v>
      </c>
      <c r="H55" s="44"/>
      <c r="I55" s="45"/>
      <c r="J55" s="46"/>
      <c r="K55" s="46"/>
      <c r="L55" s="47"/>
      <c r="M55" s="48"/>
      <c r="N55" s="49"/>
      <c r="O55" s="335"/>
      <c r="P55" s="3"/>
    </row>
    <row r="56" spans="1:16" ht="19.5" customHeight="1" thickBot="1" x14ac:dyDescent="0.3">
      <c r="A56" s="307"/>
      <c r="B56" s="249">
        <f t="shared" si="2"/>
        <v>2026</v>
      </c>
      <c r="C56" s="44">
        <f>C3</f>
        <v>5</v>
      </c>
      <c r="D56" s="58" t="s">
        <v>53</v>
      </c>
      <c r="E56" s="50">
        <v>46154</v>
      </c>
      <c r="F56" s="294">
        <v>2.2999999999999998</v>
      </c>
      <c r="G56" s="43">
        <v>200</v>
      </c>
      <c r="H56" s="44"/>
      <c r="I56" s="45"/>
      <c r="J56" s="46"/>
      <c r="K56" s="46"/>
      <c r="L56" s="47"/>
      <c r="M56" s="48"/>
      <c r="N56" s="49"/>
      <c r="O56" s="335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5</v>
      </c>
      <c r="D57" s="58">
        <v>906</v>
      </c>
      <c r="E57" s="50">
        <v>46153</v>
      </c>
      <c r="F57" s="294">
        <v>2.5</v>
      </c>
      <c r="G57" s="43">
        <v>153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5"/>
      <c r="P57" s="3"/>
    </row>
    <row r="58" spans="1:16" ht="19.5" customHeight="1" thickBot="1" x14ac:dyDescent="0.3">
      <c r="A58" s="307"/>
      <c r="B58" s="249">
        <f t="shared" si="2"/>
        <v>2026</v>
      </c>
      <c r="C58" s="44">
        <f>C3</f>
        <v>5</v>
      </c>
      <c r="D58" s="58" t="s">
        <v>54</v>
      </c>
      <c r="E58" s="50">
        <v>46153</v>
      </c>
      <c r="F58" s="294">
        <v>3.2</v>
      </c>
      <c r="G58" s="43">
        <v>87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5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5</v>
      </c>
      <c r="D59" s="58">
        <v>912</v>
      </c>
      <c r="E59" s="50">
        <v>46154</v>
      </c>
      <c r="F59" s="294">
        <v>9.1</v>
      </c>
      <c r="G59" s="43">
        <v>111</v>
      </c>
      <c r="H59" s="44">
        <v>2</v>
      </c>
      <c r="I59" s="45" t="s">
        <v>30</v>
      </c>
      <c r="J59" s="46"/>
      <c r="K59" s="46" t="s">
        <v>45</v>
      </c>
      <c r="L59" s="47"/>
      <c r="M59" s="48"/>
      <c r="N59" s="49"/>
      <c r="O59" s="335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5</v>
      </c>
      <c r="D60" s="58">
        <v>914</v>
      </c>
      <c r="E60" s="50">
        <v>46154</v>
      </c>
      <c r="F60" s="294">
        <v>1.3</v>
      </c>
      <c r="G60" s="43">
        <v>200</v>
      </c>
      <c r="H60" s="44">
        <v>3</v>
      </c>
      <c r="I60" s="45" t="s">
        <v>30</v>
      </c>
      <c r="J60" s="46"/>
      <c r="K60" s="46" t="s">
        <v>29</v>
      </c>
      <c r="L60" s="47"/>
      <c r="M60" s="48"/>
      <c r="N60" s="49"/>
      <c r="O60" s="335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5</v>
      </c>
      <c r="D61" s="58">
        <v>915</v>
      </c>
      <c r="E61" s="50">
        <v>46154</v>
      </c>
      <c r="F61" s="294">
        <v>1.7</v>
      </c>
      <c r="G61" s="43">
        <v>200</v>
      </c>
      <c r="H61" s="44">
        <v>3</v>
      </c>
      <c r="I61" s="45" t="s">
        <v>30</v>
      </c>
      <c r="J61" s="46"/>
      <c r="K61" s="46" t="s">
        <v>29</v>
      </c>
      <c r="L61" s="47"/>
      <c r="M61" s="48"/>
      <c r="N61" s="49"/>
      <c r="O61" s="335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5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5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5</v>
      </c>
      <c r="D63" s="59">
        <v>919</v>
      </c>
      <c r="E63" s="51">
        <v>46153</v>
      </c>
      <c r="F63" s="296">
        <v>3.2</v>
      </c>
      <c r="G63" s="52">
        <v>145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5"/>
      <c r="P63" s="6"/>
    </row>
    <row r="64" spans="1:16" ht="19.5" customHeight="1" x14ac:dyDescent="0.2">
      <c r="A64" s="224"/>
      <c r="B64" s="221" t="s">
        <v>35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</row>
    <row r="65" spans="1:16" ht="19.5" customHeight="1" x14ac:dyDescent="0.2">
      <c r="A65" s="224"/>
      <c r="B65" s="221" t="s">
        <v>36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16" ht="19.5" customHeight="1" x14ac:dyDescent="0.2">
      <c r="A66" s="224"/>
      <c r="B66" s="221" t="s">
        <v>37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16" ht="19.5" customHeight="1" x14ac:dyDescent="0.2">
      <c r="A67" s="224"/>
      <c r="B67" s="227" t="s">
        <v>42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/>
      <c r="K68" s="332"/>
      <c r="L68" s="16"/>
      <c r="M68" s="19"/>
      <c r="N68" s="238"/>
      <c r="O68" s="333"/>
    </row>
    <row r="69" spans="1:16" ht="15" customHeight="1" x14ac:dyDescent="0.2">
      <c r="H69" s="20"/>
      <c r="O69" s="1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178</v>
      </c>
      <c r="P71" s="14"/>
    </row>
    <row r="72" spans="1:16" ht="15" customHeight="1" x14ac:dyDescent="0.2">
      <c r="I72" s="10" t="s">
        <v>14</v>
      </c>
      <c r="J72" s="4">
        <f>SUM(H3:H63)</f>
        <v>35</v>
      </c>
      <c r="P72" s="14"/>
    </row>
    <row r="73" spans="1:16" ht="15" customHeight="1" x14ac:dyDescent="0.2">
      <c r="I73" s="10" t="s">
        <v>15</v>
      </c>
      <c r="J73" s="13">
        <f>J72/J71</f>
        <v>0.19662921348314608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N75" s="4"/>
    </row>
    <row r="76" spans="1:16" x14ac:dyDescent="0.2">
      <c r="I76" s="248" t="s">
        <v>18</v>
      </c>
      <c r="J76" s="18">
        <f>SUM(J16:J21)</f>
        <v>0</v>
      </c>
      <c r="N76" s="4"/>
    </row>
    <row r="77" spans="1:16" x14ac:dyDescent="0.2">
      <c r="I77" s="248" t="s">
        <v>21</v>
      </c>
      <c r="J77" s="18">
        <f>SUM(J22:J24)</f>
        <v>0</v>
      </c>
      <c r="N77" s="4"/>
    </row>
    <row r="78" spans="1:16" x14ac:dyDescent="0.2">
      <c r="I78" s="248" t="s">
        <v>22</v>
      </c>
      <c r="J78" s="18">
        <f>SUM(J25:J33)</f>
        <v>0</v>
      </c>
      <c r="N78" s="4"/>
    </row>
    <row r="79" spans="1:16" x14ac:dyDescent="0.2">
      <c r="I79" s="248" t="s">
        <v>6</v>
      </c>
      <c r="J79" s="18">
        <f>SUM(J34:J38)</f>
        <v>0</v>
      </c>
      <c r="N79" s="4"/>
    </row>
    <row r="80" spans="1:16" x14ac:dyDescent="0.2">
      <c r="I80" s="248" t="s">
        <v>23</v>
      </c>
      <c r="J80" s="18">
        <f>SUM(J39:J51)</f>
        <v>0</v>
      </c>
      <c r="N80" s="4"/>
    </row>
    <row r="81" spans="9:14" x14ac:dyDescent="0.2">
      <c r="I81" s="248" t="s">
        <v>27</v>
      </c>
      <c r="J81" s="18">
        <f>SUM(J52:J53)</f>
        <v>0</v>
      </c>
      <c r="N81" s="4"/>
    </row>
    <row r="82" spans="9:14" x14ac:dyDescent="0.2">
      <c r="I82" s="248" t="s">
        <v>24</v>
      </c>
      <c r="J82" s="18">
        <f>SUM(J54:J63)</f>
        <v>0</v>
      </c>
      <c r="N82" s="4"/>
    </row>
    <row r="83" spans="9:14" x14ac:dyDescent="0.2">
      <c r="J83" s="18">
        <f>SUM(J75:J82)</f>
        <v>0</v>
      </c>
      <c r="N83" s="4"/>
    </row>
    <row r="84" spans="9:14" x14ac:dyDescent="0.2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4DA6752-9E15-4B68-BFB9-ADAD7D5DAA1E}">
      <formula1>"Not Processed, No Smelt Catch, Not Sampled, Longfin Smelt, Delta Smelt"</formula1>
    </dataValidation>
    <dataValidation type="list" allowBlank="1" showInputMessage="1" showErrorMessage="1" sqref="K3:K63" xr:uid="{8F73AD5A-FBED-49F2-9DDF-E548FBEF7111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3693-738F-4C8E-AC29-4102168D3998}">
  <dimension ref="A1:O83"/>
  <sheetViews>
    <sheetView tabSelected="1" topLeftCell="A37" workbookViewId="0">
      <selection activeCell="G69" sqref="G69"/>
    </sheetView>
  </sheetViews>
  <sheetFormatPr defaultRowHeight="12.75" x14ac:dyDescent="0.2"/>
  <cols>
    <col min="9" max="9" width="15.85546875" bestFit="1" customWidth="1"/>
    <col min="11" max="11" width="10" bestFit="1" customWidth="1"/>
  </cols>
  <sheetData>
    <row r="1" spans="1:15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326"/>
      <c r="O1" s="327"/>
    </row>
    <row r="2" spans="1:15" ht="45.75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32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</row>
    <row r="3" spans="1:15" ht="15" thickBot="1" x14ac:dyDescent="0.25">
      <c r="A3" s="307"/>
      <c r="B3" s="61">
        <v>2026</v>
      </c>
      <c r="C3" s="61">
        <v>6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6" t="s">
        <v>25</v>
      </c>
    </row>
    <row r="4" spans="1:15" ht="15" thickBot="1" x14ac:dyDescent="0.25">
      <c r="A4" s="307"/>
      <c r="B4" s="67">
        <f>B3</f>
        <v>2026</v>
      </c>
      <c r="C4" s="68">
        <f t="shared" ref="C4:C15" si="0">C3</f>
        <v>6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6"/>
    </row>
    <row r="5" spans="1:15" ht="15" thickBot="1" x14ac:dyDescent="0.25">
      <c r="A5" s="307"/>
      <c r="B5" s="67">
        <f t="shared" ref="B5:B14" si="1">B4</f>
        <v>2026</v>
      </c>
      <c r="C5" s="68">
        <f t="shared" si="0"/>
        <v>6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6"/>
    </row>
    <row r="6" spans="1:15" ht="15" thickBot="1" x14ac:dyDescent="0.25">
      <c r="A6" s="307"/>
      <c r="B6" s="67">
        <f t="shared" si="1"/>
        <v>2026</v>
      </c>
      <c r="C6" s="68">
        <f t="shared" si="0"/>
        <v>6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6"/>
    </row>
    <row r="7" spans="1:15" ht="15" thickBot="1" x14ac:dyDescent="0.25">
      <c r="A7" s="307"/>
      <c r="B7" s="67">
        <f t="shared" si="1"/>
        <v>2026</v>
      </c>
      <c r="C7" s="68">
        <f t="shared" si="0"/>
        <v>6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6"/>
    </row>
    <row r="8" spans="1:15" ht="15" thickBot="1" x14ac:dyDescent="0.25">
      <c r="A8" s="307"/>
      <c r="B8" s="67">
        <f t="shared" si="1"/>
        <v>2026</v>
      </c>
      <c r="C8" s="68">
        <f t="shared" si="0"/>
        <v>6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6"/>
    </row>
    <row r="9" spans="1:15" ht="15" thickBot="1" x14ac:dyDescent="0.25">
      <c r="A9" s="307"/>
      <c r="B9" s="67">
        <f t="shared" si="1"/>
        <v>2026</v>
      </c>
      <c r="C9" s="68">
        <f t="shared" si="0"/>
        <v>6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6"/>
    </row>
    <row r="10" spans="1:15" ht="15" thickBot="1" x14ac:dyDescent="0.25">
      <c r="A10" s="307"/>
      <c r="B10" s="67">
        <f t="shared" si="1"/>
        <v>2026</v>
      </c>
      <c r="C10" s="68">
        <f t="shared" si="0"/>
        <v>6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6"/>
    </row>
    <row r="11" spans="1:15" ht="15" thickBot="1" x14ac:dyDescent="0.25">
      <c r="A11" s="307"/>
      <c r="B11" s="67">
        <f t="shared" si="1"/>
        <v>2026</v>
      </c>
      <c r="C11" s="68">
        <f t="shared" si="0"/>
        <v>6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6"/>
    </row>
    <row r="12" spans="1:15" ht="15" thickBot="1" x14ac:dyDescent="0.25">
      <c r="A12" s="307"/>
      <c r="B12" s="67">
        <f t="shared" si="1"/>
        <v>2026</v>
      </c>
      <c r="C12" s="68">
        <f t="shared" si="0"/>
        <v>6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6"/>
    </row>
    <row r="13" spans="1:15" ht="15" thickBot="1" x14ac:dyDescent="0.25">
      <c r="A13" s="307"/>
      <c r="B13" s="67">
        <f t="shared" si="1"/>
        <v>2026</v>
      </c>
      <c r="C13" s="68">
        <f t="shared" si="0"/>
        <v>6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6"/>
    </row>
    <row r="14" spans="1:15" ht="15" thickBot="1" x14ac:dyDescent="0.25">
      <c r="A14" s="307"/>
      <c r="B14" s="67">
        <f t="shared" si="1"/>
        <v>2026</v>
      </c>
      <c r="C14" s="68">
        <f t="shared" si="0"/>
        <v>6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6"/>
    </row>
    <row r="15" spans="1:15" ht="15" thickBot="1" x14ac:dyDescent="0.25">
      <c r="A15" s="307"/>
      <c r="B15" s="75">
        <f>B14</f>
        <v>2026</v>
      </c>
      <c r="C15" s="68">
        <f t="shared" si="0"/>
        <v>6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6"/>
    </row>
    <row r="16" spans="1:15" ht="15" thickBot="1" x14ac:dyDescent="0.25">
      <c r="A16" s="307"/>
      <c r="B16" s="81">
        <f>B15</f>
        <v>2026</v>
      </c>
      <c r="C16" s="82">
        <f>C3</f>
        <v>6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7" t="s">
        <v>18</v>
      </c>
    </row>
    <row r="17" spans="1:15" ht="15" thickBot="1" x14ac:dyDescent="0.25">
      <c r="A17" s="307"/>
      <c r="B17" s="89">
        <f>B16</f>
        <v>2026</v>
      </c>
      <c r="C17" s="89">
        <f>C3</f>
        <v>6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7"/>
    </row>
    <row r="18" spans="1:15" ht="15" thickBot="1" x14ac:dyDescent="0.25">
      <c r="A18" s="307"/>
      <c r="B18" s="89">
        <f t="shared" ref="B18:B63" si="2">B17</f>
        <v>2026</v>
      </c>
      <c r="C18" s="89">
        <f>C3</f>
        <v>6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7"/>
    </row>
    <row r="19" spans="1:15" ht="15" thickBot="1" x14ac:dyDescent="0.25">
      <c r="A19" s="307"/>
      <c r="B19" s="89">
        <f t="shared" si="2"/>
        <v>2026</v>
      </c>
      <c r="C19" s="89">
        <f>C4</f>
        <v>6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7"/>
    </row>
    <row r="20" spans="1:15" ht="15" thickBot="1" x14ac:dyDescent="0.25">
      <c r="A20" s="307"/>
      <c r="B20" s="89">
        <f t="shared" si="2"/>
        <v>2026</v>
      </c>
      <c r="C20" s="89">
        <f>C5</f>
        <v>6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7"/>
    </row>
    <row r="21" spans="1:15" ht="15" thickBot="1" x14ac:dyDescent="0.25">
      <c r="A21" s="307"/>
      <c r="B21" s="97">
        <f t="shared" si="2"/>
        <v>2026</v>
      </c>
      <c r="C21" s="98">
        <f>C6</f>
        <v>6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7"/>
    </row>
    <row r="22" spans="1:15" ht="15" thickBot="1" x14ac:dyDescent="0.25">
      <c r="A22" s="307"/>
      <c r="B22" s="106">
        <f t="shared" si="2"/>
        <v>2026</v>
      </c>
      <c r="C22" s="107">
        <f>C3</f>
        <v>6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8" t="s">
        <v>19</v>
      </c>
    </row>
    <row r="23" spans="1:15" ht="15" thickBot="1" x14ac:dyDescent="0.25">
      <c r="A23" s="307"/>
      <c r="B23" s="106">
        <f t="shared" si="2"/>
        <v>2026</v>
      </c>
      <c r="C23" s="114">
        <f>C3</f>
        <v>6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8"/>
    </row>
    <row r="24" spans="1:15" ht="15" thickBot="1" x14ac:dyDescent="0.25">
      <c r="A24" s="307"/>
      <c r="B24" s="121">
        <f t="shared" si="2"/>
        <v>2026</v>
      </c>
      <c r="C24" s="121">
        <f>C3</f>
        <v>6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8"/>
    </row>
    <row r="25" spans="1:15" ht="15" thickBot="1" x14ac:dyDescent="0.25">
      <c r="A25" s="307"/>
      <c r="B25" s="129">
        <f t="shared" si="2"/>
        <v>2026</v>
      </c>
      <c r="C25" s="129">
        <f>C3</f>
        <v>6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9" t="s">
        <v>26</v>
      </c>
    </row>
    <row r="26" spans="1:15" ht="15" thickBot="1" x14ac:dyDescent="0.25">
      <c r="A26" s="307"/>
      <c r="B26" s="137">
        <f t="shared" si="2"/>
        <v>2026</v>
      </c>
      <c r="C26" s="137">
        <f>C3</f>
        <v>6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9"/>
    </row>
    <row r="27" spans="1:15" ht="15" thickBot="1" x14ac:dyDescent="0.25">
      <c r="A27" s="307"/>
      <c r="B27" s="137">
        <f t="shared" si="2"/>
        <v>2026</v>
      </c>
      <c r="C27" s="137">
        <f>C3</f>
        <v>6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9"/>
    </row>
    <row r="28" spans="1:15" ht="15" thickBot="1" x14ac:dyDescent="0.25">
      <c r="A28" s="307"/>
      <c r="B28" s="137">
        <f t="shared" si="2"/>
        <v>2026</v>
      </c>
      <c r="C28" s="137">
        <f>C3</f>
        <v>6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9"/>
    </row>
    <row r="29" spans="1:15" ht="15" thickBot="1" x14ac:dyDescent="0.25">
      <c r="A29" s="307"/>
      <c r="B29" s="137">
        <f t="shared" si="2"/>
        <v>2026</v>
      </c>
      <c r="C29" s="137">
        <f>C3</f>
        <v>6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9"/>
    </row>
    <row r="30" spans="1:15" ht="15" thickBot="1" x14ac:dyDescent="0.25">
      <c r="A30" s="307"/>
      <c r="B30" s="137">
        <f t="shared" si="2"/>
        <v>2026</v>
      </c>
      <c r="C30" s="137">
        <f>C3</f>
        <v>6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9"/>
    </row>
    <row r="31" spans="1:15" ht="15" thickBot="1" x14ac:dyDescent="0.25">
      <c r="A31" s="307"/>
      <c r="B31" s="137">
        <f t="shared" si="2"/>
        <v>2026</v>
      </c>
      <c r="C31" s="137">
        <f>C3</f>
        <v>6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9"/>
    </row>
    <row r="32" spans="1:15" ht="15" thickBot="1" x14ac:dyDescent="0.25">
      <c r="A32" s="307"/>
      <c r="B32" s="137">
        <f t="shared" si="2"/>
        <v>2026</v>
      </c>
      <c r="C32" s="137">
        <f>C3</f>
        <v>6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9"/>
    </row>
    <row r="33" spans="1:15" ht="15" thickBot="1" x14ac:dyDescent="0.25">
      <c r="A33" s="307"/>
      <c r="B33" s="147">
        <f t="shared" si="2"/>
        <v>2026</v>
      </c>
      <c r="C33" s="148">
        <f>C3</f>
        <v>6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9"/>
    </row>
    <row r="34" spans="1:15" ht="15" thickBot="1" x14ac:dyDescent="0.25">
      <c r="A34" s="307"/>
      <c r="B34" s="257">
        <f t="shared" si="2"/>
        <v>2026</v>
      </c>
      <c r="C34" s="157">
        <f>C3</f>
        <v>6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0" t="s">
        <v>6</v>
      </c>
    </row>
    <row r="35" spans="1:15" ht="15" thickBot="1" x14ac:dyDescent="0.25">
      <c r="A35" s="307"/>
      <c r="B35" s="258">
        <f t="shared" si="2"/>
        <v>2026</v>
      </c>
      <c r="C35" s="157">
        <f>C3</f>
        <v>6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0"/>
    </row>
    <row r="36" spans="1:15" ht="15" thickBot="1" x14ac:dyDescent="0.25">
      <c r="A36" s="307"/>
      <c r="B36" s="258">
        <f t="shared" si="2"/>
        <v>2026</v>
      </c>
      <c r="C36" s="157">
        <f>C3</f>
        <v>6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0"/>
    </row>
    <row r="37" spans="1:15" ht="15" thickBot="1" x14ac:dyDescent="0.25">
      <c r="A37" s="307"/>
      <c r="B37" s="258">
        <f t="shared" si="2"/>
        <v>2026</v>
      </c>
      <c r="C37" s="157">
        <f>C3</f>
        <v>6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0"/>
    </row>
    <row r="38" spans="1:15" ht="15" thickBot="1" x14ac:dyDescent="0.25">
      <c r="A38" s="307"/>
      <c r="B38" s="259">
        <f t="shared" si="2"/>
        <v>2026</v>
      </c>
      <c r="C38" s="174">
        <f>C3</f>
        <v>6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40"/>
    </row>
    <row r="39" spans="1:15" ht="14.25" x14ac:dyDescent="0.2">
      <c r="A39" s="307"/>
      <c r="B39" s="256">
        <f t="shared" si="2"/>
        <v>2026</v>
      </c>
      <c r="C39" s="183">
        <f>C3</f>
        <v>6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1" t="s">
        <v>7</v>
      </c>
    </row>
    <row r="40" spans="1:15" ht="14.25" x14ac:dyDescent="0.2">
      <c r="A40" s="307"/>
      <c r="B40" s="254">
        <f t="shared" si="2"/>
        <v>2026</v>
      </c>
      <c r="C40" s="193">
        <f>C3</f>
        <v>6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2"/>
    </row>
    <row r="41" spans="1:15" ht="14.25" x14ac:dyDescent="0.2">
      <c r="A41" s="307"/>
      <c r="B41" s="254">
        <f t="shared" si="2"/>
        <v>2026</v>
      </c>
      <c r="C41" s="193">
        <f>C3</f>
        <v>6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2"/>
    </row>
    <row r="42" spans="1:15" ht="14.25" x14ac:dyDescent="0.2">
      <c r="A42" s="307"/>
      <c r="B42" s="254">
        <f t="shared" si="2"/>
        <v>2026</v>
      </c>
      <c r="C42" s="193">
        <f>C3</f>
        <v>6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2"/>
    </row>
    <row r="43" spans="1:15" ht="14.25" x14ac:dyDescent="0.2">
      <c r="A43" s="307"/>
      <c r="B43" s="254">
        <f t="shared" si="2"/>
        <v>2026</v>
      </c>
      <c r="C43" s="193">
        <f>C3</f>
        <v>6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2"/>
    </row>
    <row r="44" spans="1:15" ht="14.25" x14ac:dyDescent="0.2">
      <c r="A44" s="307"/>
      <c r="B44" s="254">
        <f t="shared" si="2"/>
        <v>2026</v>
      </c>
      <c r="C44" s="193">
        <f>C3</f>
        <v>6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2"/>
    </row>
    <row r="45" spans="1:15" ht="14.25" x14ac:dyDescent="0.2">
      <c r="A45" s="307"/>
      <c r="B45" s="201">
        <f t="shared" si="2"/>
        <v>2026</v>
      </c>
      <c r="C45" s="201">
        <f>C3</f>
        <v>6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2"/>
    </row>
    <row r="46" spans="1:15" ht="14.25" x14ac:dyDescent="0.2">
      <c r="A46" s="307"/>
      <c r="B46" s="254">
        <f t="shared" si="2"/>
        <v>2026</v>
      </c>
      <c r="C46" s="193">
        <f>C3</f>
        <v>6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2"/>
    </row>
    <row r="47" spans="1:15" ht="14.25" x14ac:dyDescent="0.2">
      <c r="A47" s="307"/>
      <c r="B47" s="254">
        <f t="shared" si="2"/>
        <v>2026</v>
      </c>
      <c r="C47" s="193">
        <f>C3</f>
        <v>6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2"/>
    </row>
    <row r="48" spans="1:15" ht="14.25" x14ac:dyDescent="0.2">
      <c r="A48" s="307"/>
      <c r="B48" s="254">
        <f t="shared" si="2"/>
        <v>2026</v>
      </c>
      <c r="C48" s="193">
        <f>C3</f>
        <v>6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2"/>
    </row>
    <row r="49" spans="1:15" ht="14.25" x14ac:dyDescent="0.2">
      <c r="A49" s="307"/>
      <c r="B49" s="254">
        <f t="shared" si="2"/>
        <v>2026</v>
      </c>
      <c r="C49" s="193">
        <f>C3</f>
        <v>6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2"/>
    </row>
    <row r="50" spans="1:15" ht="14.25" x14ac:dyDescent="0.2">
      <c r="A50" s="307"/>
      <c r="B50" s="254">
        <f t="shared" si="2"/>
        <v>2026</v>
      </c>
      <c r="C50" s="193">
        <f>C3</f>
        <v>6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2"/>
    </row>
    <row r="51" spans="1:15" ht="15" thickBot="1" x14ac:dyDescent="0.25">
      <c r="A51" s="307"/>
      <c r="B51" s="255">
        <f t="shared" si="2"/>
        <v>2026</v>
      </c>
      <c r="C51" s="251">
        <f>C3</f>
        <v>6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3"/>
    </row>
    <row r="52" spans="1:15" ht="15" thickBot="1" x14ac:dyDescent="0.25">
      <c r="A52" s="307"/>
      <c r="B52" s="252">
        <f t="shared" si="2"/>
        <v>2026</v>
      </c>
      <c r="C52" s="28">
        <f>C3</f>
        <v>6</v>
      </c>
      <c r="D52" s="29">
        <v>809</v>
      </c>
      <c r="E52" s="26">
        <v>46168</v>
      </c>
      <c r="F52" s="291">
        <v>5.7</v>
      </c>
      <c r="G52" s="27">
        <v>99</v>
      </c>
      <c r="H52" s="28">
        <v>3</v>
      </c>
      <c r="I52" s="29" t="s">
        <v>30</v>
      </c>
      <c r="J52" s="30"/>
      <c r="K52" s="30" t="s">
        <v>29</v>
      </c>
      <c r="L52" s="31"/>
      <c r="M52" s="32"/>
      <c r="N52" s="33"/>
      <c r="O52" s="335" t="s">
        <v>8</v>
      </c>
    </row>
    <row r="53" spans="1:15" ht="15" thickBot="1" x14ac:dyDescent="0.25">
      <c r="A53" s="307"/>
      <c r="B53" s="250">
        <f t="shared" si="2"/>
        <v>2026</v>
      </c>
      <c r="C53" s="36">
        <f>C3</f>
        <v>6</v>
      </c>
      <c r="D53" s="37">
        <v>812</v>
      </c>
      <c r="E53" s="34">
        <v>46168</v>
      </c>
      <c r="F53" s="292">
        <v>3.9</v>
      </c>
      <c r="G53" s="35">
        <v>125</v>
      </c>
      <c r="H53" s="36">
        <v>3</v>
      </c>
      <c r="I53" s="37" t="s">
        <v>30</v>
      </c>
      <c r="J53" s="38"/>
      <c r="K53" s="38" t="s">
        <v>29</v>
      </c>
      <c r="L53" s="39"/>
      <c r="M53" s="40"/>
      <c r="N53" s="41"/>
      <c r="O53" s="335"/>
    </row>
    <row r="54" spans="1:15" ht="15" thickBot="1" x14ac:dyDescent="0.25">
      <c r="A54" s="307"/>
      <c r="B54" s="249">
        <f t="shared" si="2"/>
        <v>2026</v>
      </c>
      <c r="C54" s="44">
        <f>C3</f>
        <v>6</v>
      </c>
      <c r="D54" s="58">
        <v>815</v>
      </c>
      <c r="E54" s="42">
        <v>46168</v>
      </c>
      <c r="F54" s="293">
        <v>2.8</v>
      </c>
      <c r="G54" s="43">
        <v>165</v>
      </c>
      <c r="H54" s="44">
        <v>3</v>
      </c>
      <c r="I54" s="45" t="s">
        <v>30</v>
      </c>
      <c r="J54" s="46"/>
      <c r="K54" s="46" t="s">
        <v>29</v>
      </c>
      <c r="L54" s="47"/>
      <c r="M54" s="48"/>
      <c r="N54" s="49"/>
      <c r="O54" s="335"/>
    </row>
    <row r="55" spans="1:15" ht="18.75" customHeight="1" thickBot="1" x14ac:dyDescent="0.3">
      <c r="A55" s="307"/>
      <c r="B55" s="249">
        <f t="shared" si="2"/>
        <v>2026</v>
      </c>
      <c r="C55" s="44">
        <f>C3</f>
        <v>6</v>
      </c>
      <c r="D55" s="58" t="s">
        <v>52</v>
      </c>
      <c r="E55" s="50">
        <v>46169</v>
      </c>
      <c r="F55" s="294">
        <v>2.1</v>
      </c>
      <c r="G55" s="43">
        <v>200</v>
      </c>
      <c r="H55" s="44"/>
      <c r="I55" s="45" t="s">
        <v>59</v>
      </c>
      <c r="J55" s="46"/>
      <c r="K55" s="46"/>
      <c r="L55" s="47"/>
      <c r="M55" s="48"/>
      <c r="N55" s="49"/>
      <c r="O55" s="335"/>
    </row>
    <row r="56" spans="1:15" ht="15" thickBot="1" x14ac:dyDescent="0.25">
      <c r="A56" s="307"/>
      <c r="B56" s="249">
        <f t="shared" si="2"/>
        <v>2026</v>
      </c>
      <c r="C56" s="44">
        <f>C3</f>
        <v>6</v>
      </c>
      <c r="D56" s="58">
        <v>902</v>
      </c>
      <c r="E56" s="50">
        <v>46169</v>
      </c>
      <c r="F56" s="294">
        <v>2.6</v>
      </c>
      <c r="G56" s="43">
        <v>170</v>
      </c>
      <c r="H56" s="44">
        <v>3</v>
      </c>
      <c r="I56" s="45" t="s">
        <v>30</v>
      </c>
      <c r="J56" s="46"/>
      <c r="K56" s="46" t="s">
        <v>29</v>
      </c>
      <c r="L56" s="47"/>
      <c r="M56" s="48"/>
      <c r="N56" s="49"/>
      <c r="O56" s="335"/>
    </row>
    <row r="57" spans="1:15" ht="15" thickBot="1" x14ac:dyDescent="0.25">
      <c r="A57" s="307"/>
      <c r="B57" s="249">
        <f t="shared" si="2"/>
        <v>2026</v>
      </c>
      <c r="C57" s="44">
        <f>C3</f>
        <v>6</v>
      </c>
      <c r="D57" s="58">
        <v>906</v>
      </c>
      <c r="E57" s="50">
        <v>46168</v>
      </c>
      <c r="F57" s="294">
        <v>1.5</v>
      </c>
      <c r="G57" s="43">
        <v>200</v>
      </c>
      <c r="H57" s="44">
        <v>3</v>
      </c>
      <c r="I57" s="45" t="s">
        <v>30</v>
      </c>
      <c r="J57" s="46"/>
      <c r="K57" s="46" t="s">
        <v>29</v>
      </c>
      <c r="L57" s="47"/>
      <c r="M57" s="48"/>
      <c r="N57" s="49"/>
      <c r="O57" s="335"/>
    </row>
    <row r="58" spans="1:15" ht="15" thickBot="1" x14ac:dyDescent="0.25">
      <c r="A58" s="307"/>
      <c r="B58" s="249">
        <f t="shared" si="2"/>
        <v>2026</v>
      </c>
      <c r="C58" s="44">
        <f>C3</f>
        <v>6</v>
      </c>
      <c r="D58" s="58">
        <v>910</v>
      </c>
      <c r="E58" s="50">
        <v>46168</v>
      </c>
      <c r="F58" s="294">
        <v>1.4</v>
      </c>
      <c r="G58" s="43">
        <v>200</v>
      </c>
      <c r="H58" s="44">
        <v>3</v>
      </c>
      <c r="I58" s="45" t="s">
        <v>30</v>
      </c>
      <c r="J58" s="46"/>
      <c r="K58" s="46" t="s">
        <v>29</v>
      </c>
      <c r="L58" s="47"/>
      <c r="M58" s="48"/>
      <c r="N58" s="49"/>
      <c r="O58" s="335"/>
    </row>
    <row r="59" spans="1:15" ht="15" thickBot="1" x14ac:dyDescent="0.25">
      <c r="A59" s="319"/>
      <c r="B59" s="249">
        <f t="shared" si="2"/>
        <v>2026</v>
      </c>
      <c r="C59" s="44">
        <f>C3</f>
        <v>6</v>
      </c>
      <c r="D59" s="58">
        <v>912</v>
      </c>
      <c r="E59" s="50">
        <v>46169</v>
      </c>
      <c r="F59" s="294">
        <v>2.9</v>
      </c>
      <c r="G59" s="43">
        <v>147</v>
      </c>
      <c r="H59" s="44">
        <v>3</v>
      </c>
      <c r="I59" s="45" t="s">
        <v>30</v>
      </c>
      <c r="J59" s="46"/>
      <c r="K59" s="46" t="s">
        <v>29</v>
      </c>
      <c r="L59" s="47"/>
      <c r="M59" s="48"/>
      <c r="N59" s="49"/>
      <c r="O59" s="335"/>
    </row>
    <row r="60" spans="1:15" ht="15" thickBot="1" x14ac:dyDescent="0.25">
      <c r="A60" s="320"/>
      <c r="B60" s="249">
        <f t="shared" si="2"/>
        <v>2026</v>
      </c>
      <c r="C60" s="44">
        <f>C3</f>
        <v>6</v>
      </c>
      <c r="D60" s="58">
        <v>914</v>
      </c>
      <c r="E60" s="50">
        <v>46169</v>
      </c>
      <c r="F60" s="294">
        <v>0.8</v>
      </c>
      <c r="G60" s="43">
        <v>200</v>
      </c>
      <c r="H60" s="44"/>
      <c r="I60" s="45" t="s">
        <v>59</v>
      </c>
      <c r="J60" s="46"/>
      <c r="K60" s="46"/>
      <c r="L60" s="47"/>
      <c r="M60" s="48"/>
      <c r="N60" s="49"/>
      <c r="O60" s="335"/>
    </row>
    <row r="61" spans="1:15" ht="15" thickBot="1" x14ac:dyDescent="0.25">
      <c r="A61" s="321"/>
      <c r="B61" s="249">
        <f t="shared" si="2"/>
        <v>2026</v>
      </c>
      <c r="C61" s="44">
        <f>C3</f>
        <v>6</v>
      </c>
      <c r="D61" s="58">
        <v>915</v>
      </c>
      <c r="E61" s="50">
        <v>46169</v>
      </c>
      <c r="F61" s="294">
        <v>1.7</v>
      </c>
      <c r="G61" s="43">
        <v>200</v>
      </c>
      <c r="H61" s="44"/>
      <c r="I61" s="45" t="s">
        <v>59</v>
      </c>
      <c r="J61" s="46"/>
      <c r="K61" s="46"/>
      <c r="L61" s="47"/>
      <c r="M61" s="48"/>
      <c r="N61" s="49"/>
      <c r="O61" s="335"/>
    </row>
    <row r="62" spans="1:15" ht="15" thickBot="1" x14ac:dyDescent="0.25">
      <c r="A62" s="226"/>
      <c r="B62" s="260">
        <f t="shared" si="2"/>
        <v>2026</v>
      </c>
      <c r="C62" s="261">
        <f>C3</f>
        <v>6</v>
      </c>
      <c r="D62" s="262">
        <v>918</v>
      </c>
      <c r="E62" s="263"/>
      <c r="F62" s="295"/>
      <c r="G62" s="264"/>
      <c r="H62" s="261"/>
      <c r="I62" s="265" t="s">
        <v>31</v>
      </c>
      <c r="J62" s="266"/>
      <c r="K62" s="266"/>
      <c r="L62" s="267"/>
      <c r="M62" s="268"/>
      <c r="N62" s="269"/>
      <c r="O62" s="335"/>
    </row>
    <row r="63" spans="1:15" ht="15" thickBot="1" x14ac:dyDescent="0.25">
      <c r="A63" s="224"/>
      <c r="B63" s="253">
        <f t="shared" si="2"/>
        <v>2026</v>
      </c>
      <c r="C63" s="53">
        <f>C3</f>
        <v>6</v>
      </c>
      <c r="D63" s="59">
        <v>919</v>
      </c>
      <c r="E63" s="51">
        <v>46168</v>
      </c>
      <c r="F63" s="296">
        <v>4.3</v>
      </c>
      <c r="G63" s="52">
        <v>165</v>
      </c>
      <c r="H63" s="53">
        <v>3</v>
      </c>
      <c r="I63" s="45" t="s">
        <v>30</v>
      </c>
      <c r="J63" s="54"/>
      <c r="K63" s="54" t="s">
        <v>29</v>
      </c>
      <c r="L63" s="55"/>
      <c r="M63" s="56"/>
      <c r="N63" s="57"/>
      <c r="O63" s="335"/>
    </row>
    <row r="64" spans="1:15" ht="18" x14ac:dyDescent="0.25">
      <c r="A64" s="224"/>
      <c r="B64" s="221" t="s">
        <v>55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</row>
    <row r="65" spans="1:15" ht="21" x14ac:dyDescent="0.25">
      <c r="A65" s="224"/>
      <c r="B65" s="221" t="s">
        <v>56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</row>
    <row r="66" spans="1:15" ht="21" x14ac:dyDescent="0.25">
      <c r="A66" s="224"/>
      <c r="B66" s="221" t="s">
        <v>57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</row>
    <row r="67" spans="1:15" ht="14.25" x14ac:dyDescent="0.2">
      <c r="A67" s="224"/>
      <c r="B67" s="227" t="s">
        <v>58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</row>
    <row r="68" spans="1:15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>
        <f>SUM(J3:J63)</f>
        <v>0</v>
      </c>
      <c r="K68" s="332"/>
      <c r="L68" s="16">
        <f>MIN(L3:L63)</f>
        <v>0</v>
      </c>
      <c r="M68" s="19">
        <f>MAX(M3:M63)</f>
        <v>0</v>
      </c>
      <c r="N68" s="334"/>
      <c r="O68" s="333"/>
    </row>
    <row r="69" spans="1:15" x14ac:dyDescent="0.2">
      <c r="A69" s="4"/>
      <c r="B69" s="4"/>
      <c r="C69" s="4"/>
      <c r="D69" s="4"/>
      <c r="E69" s="4"/>
      <c r="F69" s="4"/>
      <c r="G69" s="4"/>
      <c r="H69" s="20"/>
      <c r="I69" s="10"/>
      <c r="J69" s="4"/>
      <c r="K69" s="4"/>
      <c r="L69" s="4"/>
      <c r="M69" s="4"/>
      <c r="N69" s="324"/>
      <c r="O69" s="14"/>
    </row>
    <row r="70" spans="1:15" x14ac:dyDescent="0.2">
      <c r="A70" s="4"/>
      <c r="B70" s="4"/>
      <c r="C70" s="4"/>
      <c r="D70" s="4"/>
      <c r="E70" s="4"/>
      <c r="F70" s="23">
        <f>AVERAGE(F52:F63)</f>
        <v>2.6999999999999997</v>
      </c>
      <c r="G70" s="18">
        <f>AVERAGE(G52:G63)</f>
        <v>170.09090909090909</v>
      </c>
      <c r="H70" s="4">
        <f>SUM(H3:H63)</f>
        <v>24</v>
      </c>
      <c r="I70" s="10"/>
      <c r="J70" s="4"/>
      <c r="K70" s="4"/>
      <c r="L70" s="4"/>
      <c r="M70" s="4"/>
      <c r="N70" s="324"/>
      <c r="O70" s="4"/>
    </row>
    <row r="71" spans="1:15" x14ac:dyDescent="0.2">
      <c r="A71" s="4"/>
      <c r="B71" s="4"/>
      <c r="C71" s="4"/>
      <c r="D71" s="4"/>
      <c r="E71" s="4"/>
      <c r="F71" s="4"/>
      <c r="G71" s="4"/>
      <c r="H71" s="4"/>
      <c r="I71" s="10" t="s">
        <v>13</v>
      </c>
      <c r="J71" s="4">
        <v>177</v>
      </c>
      <c r="K71" s="4"/>
      <c r="L71" s="4"/>
      <c r="M71" s="4"/>
      <c r="N71" s="324"/>
      <c r="O71" s="4"/>
    </row>
    <row r="72" spans="1:15" x14ac:dyDescent="0.2">
      <c r="A72" s="4"/>
      <c r="B72" s="4"/>
      <c r="C72" s="4"/>
      <c r="D72" s="4"/>
      <c r="E72" s="4"/>
      <c r="F72" s="4"/>
      <c r="G72" s="4"/>
      <c r="H72" s="4"/>
      <c r="I72" s="10" t="s">
        <v>14</v>
      </c>
      <c r="J72" s="4">
        <v>12</v>
      </c>
      <c r="K72" s="4"/>
      <c r="L72" s="4"/>
      <c r="M72" s="4"/>
      <c r="N72" s="324"/>
      <c r="O72" s="4"/>
    </row>
    <row r="73" spans="1:15" x14ac:dyDescent="0.2">
      <c r="A73" s="4"/>
      <c r="B73" s="4"/>
      <c r="C73" s="4"/>
      <c r="D73" s="4"/>
      <c r="E73" s="4"/>
      <c r="F73" s="4"/>
      <c r="G73" s="4"/>
      <c r="H73" s="4"/>
      <c r="I73" s="10" t="s">
        <v>15</v>
      </c>
      <c r="J73" s="13">
        <f>J72/J71</f>
        <v>6.7796610169491525E-2</v>
      </c>
      <c r="K73" s="13"/>
      <c r="L73" s="4"/>
      <c r="M73" s="4"/>
      <c r="N73" s="324"/>
      <c r="O73" s="4"/>
    </row>
    <row r="75" spans="1:15" x14ac:dyDescent="0.2">
      <c r="I75" s="248" t="s">
        <v>20</v>
      </c>
      <c r="J75" s="18">
        <f>SUM(J3:J15)</f>
        <v>0</v>
      </c>
      <c r="K75" s="248" t="s">
        <v>20</v>
      </c>
      <c r="L75" s="4"/>
      <c r="M75" s="4"/>
      <c r="N75" s="18">
        <f t="shared" ref="N75:N83" si="3">J75-L75</f>
        <v>0</v>
      </c>
    </row>
    <row r="76" spans="1:15" x14ac:dyDescent="0.2">
      <c r="I76" s="248" t="s">
        <v>18</v>
      </c>
      <c r="J76" s="18">
        <f>SUM(J16:J21)</f>
        <v>0</v>
      </c>
      <c r="K76" s="248" t="s">
        <v>18</v>
      </c>
      <c r="L76" s="4"/>
      <c r="M76" s="4"/>
      <c r="N76" s="18">
        <f t="shared" si="3"/>
        <v>0</v>
      </c>
    </row>
    <row r="77" spans="1:15" x14ac:dyDescent="0.2">
      <c r="I77" s="248" t="s">
        <v>21</v>
      </c>
      <c r="J77" s="18">
        <f>SUM(J22:J24)</f>
        <v>0</v>
      </c>
      <c r="K77" s="248" t="s">
        <v>21</v>
      </c>
      <c r="L77" s="4"/>
      <c r="M77" s="4"/>
      <c r="N77" s="18">
        <f t="shared" si="3"/>
        <v>0</v>
      </c>
    </row>
    <row r="78" spans="1:15" x14ac:dyDescent="0.2">
      <c r="I78" s="248" t="s">
        <v>22</v>
      </c>
      <c r="J78" s="18">
        <f>SUM(J25:J33)</f>
        <v>0</v>
      </c>
      <c r="K78" s="248" t="s">
        <v>22</v>
      </c>
      <c r="L78" s="4"/>
      <c r="M78" s="4"/>
      <c r="N78" s="18">
        <f t="shared" si="3"/>
        <v>0</v>
      </c>
    </row>
    <row r="79" spans="1:15" x14ac:dyDescent="0.2">
      <c r="I79" s="248" t="s">
        <v>6</v>
      </c>
      <c r="J79" s="18">
        <f>SUM(J34:J38)</f>
        <v>0</v>
      </c>
      <c r="K79" s="248" t="s">
        <v>6</v>
      </c>
      <c r="L79" s="4"/>
      <c r="M79" s="4"/>
      <c r="N79" s="18">
        <f t="shared" si="3"/>
        <v>0</v>
      </c>
    </row>
    <row r="80" spans="1:15" x14ac:dyDescent="0.2">
      <c r="I80" s="248" t="s">
        <v>23</v>
      </c>
      <c r="J80" s="18">
        <f>SUM(J39:J51)</f>
        <v>0</v>
      </c>
      <c r="K80" s="248" t="s">
        <v>23</v>
      </c>
      <c r="L80" s="4"/>
      <c r="M80" s="4"/>
      <c r="N80" s="18">
        <f t="shared" si="3"/>
        <v>0</v>
      </c>
    </row>
    <row r="81" spans="9:14" x14ac:dyDescent="0.2">
      <c r="I81" s="248" t="s">
        <v>27</v>
      </c>
      <c r="J81" s="18">
        <f>SUM(J52:J53)</f>
        <v>0</v>
      </c>
      <c r="K81" s="248" t="s">
        <v>27</v>
      </c>
      <c r="L81" s="4"/>
      <c r="M81" s="4"/>
      <c r="N81" s="18">
        <f t="shared" si="3"/>
        <v>0</v>
      </c>
    </row>
    <row r="82" spans="9:14" x14ac:dyDescent="0.2">
      <c r="I82" s="248" t="s">
        <v>24</v>
      </c>
      <c r="J82" s="18">
        <f>SUM(J54:J63)</f>
        <v>0</v>
      </c>
      <c r="K82" s="248" t="s">
        <v>24</v>
      </c>
      <c r="L82" s="4"/>
      <c r="M82" s="4"/>
      <c r="N82" s="18">
        <f t="shared" si="3"/>
        <v>0</v>
      </c>
    </row>
    <row r="83" spans="9:14" x14ac:dyDescent="0.2">
      <c r="I83" s="10"/>
      <c r="J83" s="18">
        <f>SUM(J75:J82)</f>
        <v>0</v>
      </c>
      <c r="K83" s="4"/>
      <c r="L83" s="4"/>
      <c r="M83" s="4"/>
      <c r="N83" s="18">
        <f t="shared" si="3"/>
        <v>0</v>
      </c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187C051-4D9A-4465-9DDF-048C28CAFC6F}">
      <formula1>"Preliminary, Complete"</formula1>
    </dataValidation>
    <dataValidation type="list" allowBlank="1" showInputMessage="1" showErrorMessage="1" sqref="I3:I63" xr:uid="{B572ED32-9826-439C-8FAE-A83B5F86C3ED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44" t="s">
        <v>33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</row>
    <row r="2" spans="1:11" x14ac:dyDescent="0.2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 1</vt:lpstr>
      <vt:lpstr>Survey 2</vt:lpstr>
      <vt:lpstr>Survey 3</vt:lpstr>
      <vt:lpstr>Survey 4</vt:lpstr>
      <vt:lpstr>Survey 5</vt:lpstr>
      <vt:lpstr>Survey 6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OcegueraZavala, Jennifer@Wildlife</cp:lastModifiedBy>
  <cp:lastPrinted>2024-05-30T00:07:14Z</cp:lastPrinted>
  <dcterms:created xsi:type="dcterms:W3CDTF">2010-03-26T20:15:02Z</dcterms:created>
  <dcterms:modified xsi:type="dcterms:W3CDTF">2026-06-02T16:36:02Z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